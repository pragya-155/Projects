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123\OneDrive\Desktop\"/>
    </mc:Choice>
  </mc:AlternateContent>
  <xr:revisionPtr revIDLastSave="0" documentId="13_ncr:1_{9B2896E5-8810-4283-8AA8-F4A974DA5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ustomers" sheetId="11" r:id="rId2"/>
    <sheet name="Products" sheetId="12" r:id="rId3"/>
    <sheet name="Vendors" sheetId="13" r:id="rId4"/>
    <sheet name="New Entry Purchase" sheetId="14" r:id="rId5"/>
    <sheet name="Purchase" sheetId="15" r:id="rId6"/>
    <sheet name="Sales" sheetId="16" r:id="rId7"/>
    <sheet name="Inventory" sheetId="17" r:id="rId8"/>
    <sheet name="pivots" sheetId="9" r:id="rId9"/>
  </sheets>
  <externalReferences>
    <externalReference r:id="rId10"/>
  </externalReferences>
  <definedNames>
    <definedName name="cid">customersdata[Cust_ID]</definedName>
    <definedName name="Cust_ID">[1]!customersdata[Cust_ID]</definedName>
    <definedName name="HSNCode">[1]!Table4[HSN Code]</definedName>
  </definedNames>
  <calcPr calcId="191029"/>
  <pivotCaches>
    <pivotCache cacheId="24" r:id="rId11"/>
    <pivotCache cacheId="27" r:id="rId12"/>
    <pivotCache cacheId="30" r:id="rId13"/>
    <pivotCache cacheId="34" r:id="rId14"/>
    <pivotCache cacheId="3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 a="1"/>
  <c r="N21" i="1" s="1"/>
  <c r="N20" i="1" a="1"/>
  <c r="N20" i="1" s="1"/>
  <c r="N18" i="1" a="1"/>
  <c r="N18" i="1" s="1"/>
  <c r="K9" i="17"/>
  <c r="K10" i="17"/>
  <c r="K11" i="17"/>
  <c r="K12" i="17"/>
  <c r="K13" i="17"/>
  <c r="K14" i="17"/>
  <c r="K15" i="17"/>
  <c r="K16" i="17"/>
  <c r="K17" i="17"/>
  <c r="K18" i="17"/>
  <c r="H9" i="17" l="1"/>
  <c r="G10" i="17"/>
  <c r="G16" i="17"/>
  <c r="D10" i="17"/>
  <c r="E10" i="17"/>
  <c r="H10" i="17" s="1"/>
  <c r="I10" i="17" s="1"/>
  <c r="F10" i="17"/>
  <c r="D11" i="17"/>
  <c r="E11" i="17"/>
  <c r="H11" i="17" s="1"/>
  <c r="F11" i="17"/>
  <c r="D12" i="17"/>
  <c r="E12" i="17"/>
  <c r="G12" i="17" s="1"/>
  <c r="F12" i="17"/>
  <c r="D13" i="17"/>
  <c r="E13" i="17"/>
  <c r="G13" i="17" s="1"/>
  <c r="F13" i="17"/>
  <c r="D14" i="17"/>
  <c r="E14" i="17"/>
  <c r="G14" i="17" s="1"/>
  <c r="F14" i="17"/>
  <c r="D15" i="17"/>
  <c r="E15" i="17"/>
  <c r="G15" i="17" s="1"/>
  <c r="F15" i="17"/>
  <c r="D16" i="17"/>
  <c r="E16" i="17"/>
  <c r="H16" i="17" s="1"/>
  <c r="I16" i="17" s="1"/>
  <c r="F16" i="17"/>
  <c r="D17" i="17"/>
  <c r="E17" i="17"/>
  <c r="G17" i="17" s="1"/>
  <c r="F17" i="17"/>
  <c r="D18" i="17"/>
  <c r="E18" i="17"/>
  <c r="G18" i="17" s="1"/>
  <c r="F18" i="17"/>
  <c r="E9" i="17"/>
  <c r="G9" i="17" s="1"/>
  <c r="F9" i="17"/>
  <c r="D9" i="17"/>
  <c r="L9" i="16"/>
  <c r="L10" i="16"/>
  <c r="L11" i="16"/>
  <c r="L12" i="16"/>
  <c r="L13" i="16"/>
  <c r="L14" i="16"/>
  <c r="L15" i="16"/>
  <c r="K9" i="16"/>
  <c r="K10" i="16"/>
  <c r="K11" i="16"/>
  <c r="K12" i="16"/>
  <c r="K13" i="16"/>
  <c r="K14" i="16"/>
  <c r="K15" i="16"/>
  <c r="G9" i="16"/>
  <c r="G10" i="16"/>
  <c r="G11" i="16"/>
  <c r="G12" i="16"/>
  <c r="G13" i="16"/>
  <c r="G14" i="16"/>
  <c r="G15" i="16"/>
  <c r="E9" i="16"/>
  <c r="E10" i="16"/>
  <c r="E11" i="16"/>
  <c r="E12" i="16"/>
  <c r="E13" i="16"/>
  <c r="E14" i="16"/>
  <c r="E15" i="16"/>
  <c r="J20" i="15"/>
  <c r="J19" i="15"/>
  <c r="J18" i="15"/>
  <c r="J17" i="15"/>
  <c r="J16" i="15"/>
  <c r="J15" i="15"/>
  <c r="J14" i="15"/>
  <c r="J13" i="15"/>
  <c r="J12" i="15"/>
  <c r="E20" i="15"/>
  <c r="F20" i="15"/>
  <c r="I20" i="15"/>
  <c r="I10" i="15"/>
  <c r="J10" i="15" s="1"/>
  <c r="I11" i="15"/>
  <c r="J11" i="15" s="1"/>
  <c r="I12" i="15"/>
  <c r="I13" i="15"/>
  <c r="I14" i="15"/>
  <c r="I15" i="15"/>
  <c r="I16" i="15"/>
  <c r="I17" i="15"/>
  <c r="I18" i="15"/>
  <c r="I19" i="15"/>
  <c r="F10" i="15"/>
  <c r="F11" i="15"/>
  <c r="F12" i="15"/>
  <c r="F13" i="15"/>
  <c r="F14" i="15"/>
  <c r="F15" i="15"/>
  <c r="F16" i="15"/>
  <c r="F17" i="15"/>
  <c r="F18" i="15"/>
  <c r="F19" i="15"/>
  <c r="E10" i="15"/>
  <c r="E11" i="15"/>
  <c r="E12" i="15"/>
  <c r="E13" i="15"/>
  <c r="E14" i="15"/>
  <c r="E15" i="15"/>
  <c r="E16" i="15"/>
  <c r="E17" i="15"/>
  <c r="E18" i="15"/>
  <c r="E19" i="15"/>
  <c r="C16" i="9"/>
  <c r="C7" i="9"/>
  <c r="C13" i="9"/>
  <c r="C10" i="9"/>
  <c r="C4" i="9"/>
  <c r="I10" i="16" l="1"/>
  <c r="J16" i="17"/>
  <c r="J10" i="17"/>
  <c r="I9" i="17"/>
  <c r="J9" i="17" s="1"/>
  <c r="H18" i="17"/>
  <c r="I18" i="17" s="1"/>
  <c r="J18" i="17" s="1"/>
  <c r="H17" i="17"/>
  <c r="I17" i="17" s="1"/>
  <c r="G11" i="17"/>
  <c r="I11" i="17" s="1"/>
  <c r="H15" i="17"/>
  <c r="I15" i="17" s="1"/>
  <c r="H14" i="17"/>
  <c r="I14" i="17" s="1"/>
  <c r="H13" i="17"/>
  <c r="I13" i="17" s="1"/>
  <c r="H12" i="17"/>
  <c r="I12" i="17" s="1"/>
  <c r="C19" i="9"/>
  <c r="J17" i="17" l="1"/>
  <c r="I9" i="16"/>
  <c r="I14" i="16"/>
  <c r="I11" i="16"/>
  <c r="J11" i="17"/>
  <c r="I12" i="16"/>
  <c r="J12" i="17"/>
  <c r="I13" i="16"/>
  <c r="J13" i="17"/>
  <c r="I15" i="16"/>
  <c r="J15" i="17"/>
  <c r="J14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<sst xmlns="http://schemas.openxmlformats.org/spreadsheetml/2006/main" count="189" uniqueCount="95">
  <si>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</si>
  <si>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</si>
  <si>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</si>
  <si>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</si>
  <si>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</si>
  <si>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</si>
  <si>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</si>
  <si>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</si>
  <si>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</si>
  <si>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</si>
  <si>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</si>
  <si>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</si>
  <si>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</si>
  <si>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</si>
  <si>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</si>
  <si>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</si>
  <si>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</si>
  <si>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</si>
  <si>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</si>
  <si>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</si>
  <si>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</si>
  <si>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</si>
  <si>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</si>
  <si>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</si>
  <si>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</si>
  <si>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</si>
  <si>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</si>
  <si>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</si>
  <si>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</si>
  <si>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</si>
  <si>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</si>
  <si>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</si>
  <si>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</si>
  <si>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</si>
  <si>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</si>
  <si>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</si>
  <si>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</si>
  <si>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</si>
  <si>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</si>
  <si>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</si>
  <si>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</si>
  <si>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</si>
  <si>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</si>
  <si>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</si>
  <si>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</si>
  <si>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</si>
  <si>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</si>
  <si>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</si>
  <si>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</si>
  <si>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</si>
  <si>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</si>
  <si>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</si>
  <si>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9812xxxxxx</t>
  </si>
  <si>
    <t>Faridabad, 121102</t>
  </si>
  <si>
    <t>Faridabad, 121103</t>
  </si>
  <si>
    <t>GG Traders</t>
  </si>
  <si>
    <t>9813xxxxxx</t>
  </si>
  <si>
    <t>Gurgaon, Sec-16</t>
  </si>
  <si>
    <t>Gurgaon, Sec-17</t>
  </si>
  <si>
    <t>Gurgaon, Sec-18</t>
  </si>
  <si>
    <t>Compac</t>
  </si>
  <si>
    <t>9814xxxxxx</t>
  </si>
  <si>
    <t>New Delhi, 110012</t>
  </si>
  <si>
    <t>New Delhi, 110013</t>
  </si>
  <si>
    <t>New Delhi, 110014</t>
  </si>
  <si>
    <t>Purchase Entry</t>
  </si>
  <si>
    <t>Sales Entry</t>
  </si>
  <si>
    <t>Vendor</t>
  </si>
  <si>
    <t>Date</t>
  </si>
  <si>
    <t>Units</t>
  </si>
  <si>
    <t>Amount</t>
  </si>
  <si>
    <t>Cust_Name</t>
  </si>
  <si>
    <t>Stock(Units)</t>
  </si>
  <si>
    <t>Price</t>
  </si>
  <si>
    <t>Unit</t>
  </si>
  <si>
    <t>P Units</t>
  </si>
  <si>
    <t>S Units</t>
  </si>
  <si>
    <t>Stock</t>
  </si>
  <si>
    <t>Stock Amount</t>
  </si>
  <si>
    <t>Row Labels</t>
  </si>
  <si>
    <t>Grand Total</t>
  </si>
  <si>
    <t>Count of Name</t>
  </si>
  <si>
    <t>Customers</t>
  </si>
  <si>
    <t>Count of Product Name</t>
  </si>
  <si>
    <t>Products</t>
  </si>
  <si>
    <t>Sum of Amount</t>
  </si>
  <si>
    <t>Purchase amount</t>
  </si>
  <si>
    <t>Sales amount</t>
  </si>
  <si>
    <t>Sum of Stock Amount</t>
  </si>
  <si>
    <t>Stock amount</t>
  </si>
  <si>
    <t>profit/loss</t>
  </si>
  <si>
    <t>Sum of S Units</t>
  </si>
  <si>
    <t xml:space="preserve">  Notifications !</t>
  </si>
  <si>
    <t>Notification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</si>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</sst>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_ ;_ &quot;₹&quot;\ * \-#,##0_ ;_ &quot;₹&quot;\ * &quot;-&quot;_ ;_ @_ "/>
    <numFmt numFmtId="165" formatCode="[$₹-439]#,##0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164" fontId="1" fillId="4" borderId="0" xfId="0" applyNumberFormat="1" applyFont="1" applyFill="1"/>
    <xf numFmtId="0" fontId="3" fillId="2" borderId="0" xfId="1" applyFont="1" applyFill="1"/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6" borderId="0" xfId="0" applyFill="1"/>
    <xf numFmtId="0" fontId="6" fillId="6" borderId="0" xfId="0" applyFont="1" applyFill="1"/>
    <xf numFmtId="0" fontId="7" fillId="7" borderId="0" xfId="0" applyFont="1" applyFill="1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52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externalLink" Target="externalLinks/externalLink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pivots!$F$4:$F$9</c:f>
              <c:strCache>
                <c:ptCount val="5"/>
                <c:pt idx="0">
                  <c:v>Desktop</c:v>
                </c:pt>
                <c:pt idx="1">
                  <c:v>Wireless Printer</c:v>
                </c:pt>
                <c:pt idx="2">
                  <c:v>Rgb Keyboard</c:v>
                </c:pt>
                <c:pt idx="3">
                  <c:v>Laptop HP xyz i5</c:v>
                </c:pt>
                <c:pt idx="4">
                  <c:v>Smart Watch</c:v>
                </c:pt>
              </c:strCache>
            </c:strRef>
          </c:cat>
          <c:val>
            <c:numRef>
              <c:f>pivots!$G$4:$G$9</c:f>
              <c:numCache>
                <c:formatCode>General</c:formatCode>
                <c:ptCount val="5"/>
                <c:pt idx="0">
                  <c:v>55</c:v>
                </c:pt>
                <c:pt idx="1">
                  <c:v>38</c:v>
                </c:pt>
                <c:pt idx="2">
                  <c:v>33</c:v>
                </c:pt>
                <c:pt idx="3">
                  <c:v>29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A-46F1-9388-7CD58CCD7F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6810480"/>
        <c:axId val="1601583440"/>
      </c:barChart>
      <c:catAx>
        <c:axId val="164681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83440"/>
        <c:crosses val="autoZero"/>
        <c:auto val="1"/>
        <c:lblAlgn val="ctr"/>
        <c:lblOffset val="100"/>
        <c:noMultiLvlLbl val="0"/>
      </c:catAx>
      <c:valAx>
        <c:axId val="160158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681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222081031699194E-16"/>
              <c:y val="1.4749262536873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5475065616798"/>
          <c:y val="0.27352507374631269"/>
          <c:w val="0.70945249343832006"/>
          <c:h val="0.645353982300884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88-472E-B80F-D865CBA5FD33}"/>
              </c:ext>
            </c:extLst>
          </c:dPt>
          <c:dLbls>
            <c:dLbl>
              <c:idx val="0"/>
              <c:layout>
                <c:manualLayout>
                  <c:x val="-1.2222081031699194E-16"/>
                  <c:y val="1.47492625368731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88-472E-B80F-D865CBA5FD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pivots!$F$15:$F$20</c:f>
              <c:strCache>
                <c:ptCount val="5"/>
                <c:pt idx="0">
                  <c:v>99store</c:v>
                </c:pt>
                <c:pt idx="1">
                  <c:v>Atul Ltd.</c:v>
                </c:pt>
                <c:pt idx="2">
                  <c:v>Jain Tel.</c:v>
                </c:pt>
                <c:pt idx="3">
                  <c:v>MK Tech.</c:v>
                </c:pt>
                <c:pt idx="4">
                  <c:v>Ram sales</c:v>
                </c:pt>
              </c:strCache>
            </c:strRef>
          </c:cat>
          <c:val>
            <c:numRef>
              <c:f>pivots!$G$15:$G$20</c:f>
              <c:numCache>
                <c:formatCode>_ "₹"\ * #,##0_ ;_ "₹"\ * \-#,##0_ ;_ "₹"\ * "-"_ ;_ @_ </c:formatCode>
                <c:ptCount val="5"/>
                <c:pt idx="0">
                  <c:v>1386000</c:v>
                </c:pt>
                <c:pt idx="1">
                  <c:v>1200600</c:v>
                </c:pt>
                <c:pt idx="2">
                  <c:v>1060800</c:v>
                </c:pt>
                <c:pt idx="3">
                  <c:v>209760</c:v>
                </c:pt>
                <c:pt idx="4">
                  <c:v>31752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8-472E-B80F-D865CBA5F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03476688"/>
        <c:axId val="1603482928"/>
      </c:barChart>
      <c:catAx>
        <c:axId val="160347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82928"/>
        <c:crosses val="autoZero"/>
        <c:auto val="1"/>
        <c:lblAlgn val="ctr"/>
        <c:lblOffset val="100"/>
        <c:noMultiLvlLbl val="0"/>
      </c:catAx>
      <c:valAx>
        <c:axId val="1603482928"/>
        <c:scaling>
          <c:orientation val="minMax"/>
        </c:scaling>
        <c:delete val="1"/>
        <c:axPos val="b"/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60347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Worksheet.xlsx]pivots!PivotTable10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462668816039986E-17"/>
              <c:y val="-0.254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20370370370370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8798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462668816039986E-17"/>
              <c:y val="-0.254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20370370370370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8798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328182723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19853709508881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2449830918470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972362780671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8798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73D-4046-BB15-2DF9C387B3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3D-4046-BB15-2DF9C387B3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3D-4046-BB15-2DF9C387B3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3D-4046-BB15-2DF9C387B34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3D-4046-BB15-2DF9C387B34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3D-4046-BB15-2DF9C387B34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73D-4046-BB15-2DF9C387B34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3D-4046-BB15-2DF9C387B34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73D-4046-BB15-2DF9C387B34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3D-4046-BB15-2DF9C387B34C}"/>
              </c:ext>
            </c:extLst>
          </c:dPt>
          <c:dLbls>
            <c:dLbl>
              <c:idx val="0"/>
              <c:layout>
                <c:manualLayout>
                  <c:x val="-2.7777777777777779E-3"/>
                  <c:y val="-6.48148148148148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D-4046-BB15-2DF9C387B34C}"/>
                </c:ext>
              </c:extLst>
            </c:dLbl>
            <c:dLbl>
              <c:idx val="1"/>
              <c:layout>
                <c:manualLayout>
                  <c:x val="0"/>
                  <c:y val="-0.2232818272324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3D-4046-BB15-2DF9C387B34C}"/>
                </c:ext>
              </c:extLst>
            </c:dLbl>
            <c:dLbl>
              <c:idx val="2"/>
              <c:layout>
                <c:manualLayout>
                  <c:x val="-5.0925337632079971E-17"/>
                  <c:y val="-0.189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3D-4046-BB15-2DF9C387B34C}"/>
                </c:ext>
              </c:extLst>
            </c:dLbl>
            <c:dLbl>
              <c:idx val="3"/>
              <c:layout>
                <c:manualLayout>
                  <c:x val="0"/>
                  <c:y val="-5.198537095088819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3D-4046-BB15-2DF9C387B34C}"/>
                </c:ext>
              </c:extLst>
            </c:dLbl>
            <c:dLbl>
              <c:idx val="4"/>
              <c:layout>
                <c:manualLayout>
                  <c:x val="0"/>
                  <c:y val="-5.24498309184707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3D-4046-BB15-2DF9C387B34C}"/>
                </c:ext>
              </c:extLst>
            </c:dLbl>
            <c:dLbl>
              <c:idx val="5"/>
              <c:layout>
                <c:manualLayout>
                  <c:x val="-1.0185067526415994E-16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D-4046-BB15-2DF9C387B34C}"/>
                </c:ext>
              </c:extLst>
            </c:dLbl>
            <c:dLbl>
              <c:idx val="6"/>
              <c:layout>
                <c:manualLayout>
                  <c:x val="0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D-4046-BB15-2DF9C387B34C}"/>
                </c:ext>
              </c:extLst>
            </c:dLbl>
            <c:dLbl>
              <c:idx val="7"/>
              <c:layout>
                <c:manualLayout>
                  <c:x val="0"/>
                  <c:y val="-0.259723627806712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3D-4046-BB15-2DF9C387B34C}"/>
                </c:ext>
              </c:extLst>
            </c:dLbl>
            <c:dLbl>
              <c:idx val="8"/>
              <c:layout>
                <c:manualLayout>
                  <c:x val="1.0185067526415994E-16"/>
                  <c:y val="-0.212962962962962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3D-4046-BB15-2DF9C387B34C}"/>
                </c:ext>
              </c:extLst>
            </c:dLbl>
            <c:dLbl>
              <c:idx val="9"/>
              <c:layout>
                <c:manualLayout>
                  <c:x val="2.7777777777778798E-3"/>
                  <c:y val="-6.48148148148148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3D-4046-BB15-2DF9C387B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pivots!$A$27:$A$37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pivots!$B$27:$B$37</c:f>
              <c:numCache>
                <c:formatCode>General</c:formatCode>
                <c:ptCount val="10"/>
                <c:pt idx="0">
                  <c:v>3</c:v>
                </c:pt>
                <c:pt idx="1">
                  <c:v>45</c:v>
                </c:pt>
                <c:pt idx="2">
                  <c:v>35</c:v>
                </c:pt>
                <c:pt idx="3">
                  <c:v>1</c:v>
                </c:pt>
                <c:pt idx="4">
                  <c:v>1</c:v>
                </c:pt>
                <c:pt idx="5">
                  <c:v>17</c:v>
                </c:pt>
                <c:pt idx="6">
                  <c:v>13</c:v>
                </c:pt>
                <c:pt idx="7">
                  <c:v>55</c:v>
                </c:pt>
                <c:pt idx="8">
                  <c:v>40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3D-4046-BB15-2DF9C387B3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5569152"/>
        <c:axId val="1605570112"/>
      </c:barChart>
      <c:catAx>
        <c:axId val="16055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70112"/>
        <c:crosses val="autoZero"/>
        <c:auto val="1"/>
        <c:lblAlgn val="ctr"/>
        <c:lblOffset val="100"/>
        <c:noMultiLvlLbl val="0"/>
      </c:catAx>
      <c:valAx>
        <c:axId val="160557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556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pivots!$F$4:$F$9</c:f>
              <c:strCache>
                <c:ptCount val="5"/>
                <c:pt idx="0">
                  <c:v>Desktop</c:v>
                </c:pt>
                <c:pt idx="1">
                  <c:v>Wireless Printer</c:v>
                </c:pt>
                <c:pt idx="2">
                  <c:v>Rgb Keyboard</c:v>
                </c:pt>
                <c:pt idx="3">
                  <c:v>Laptop HP xyz i5</c:v>
                </c:pt>
                <c:pt idx="4">
                  <c:v>Smart Watch</c:v>
                </c:pt>
              </c:strCache>
            </c:strRef>
          </c:cat>
          <c:val>
            <c:numRef>
              <c:f>pivots!$G$4:$G$9</c:f>
              <c:numCache>
                <c:formatCode>General</c:formatCode>
                <c:ptCount val="5"/>
                <c:pt idx="0">
                  <c:v>55</c:v>
                </c:pt>
                <c:pt idx="1">
                  <c:v>38</c:v>
                </c:pt>
                <c:pt idx="2">
                  <c:v>33</c:v>
                </c:pt>
                <c:pt idx="3">
                  <c:v>29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3-46B9-ACFD-5E24A545E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810480"/>
        <c:axId val="1601583440"/>
      </c:barChart>
      <c:catAx>
        <c:axId val="164681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83440"/>
        <c:crosses val="autoZero"/>
        <c:auto val="1"/>
        <c:lblAlgn val="ctr"/>
        <c:lblOffset val="100"/>
        <c:noMultiLvlLbl val="0"/>
      </c:catAx>
      <c:valAx>
        <c:axId val="160158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1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pivots!$F$15:$F$20</c:f>
              <c:strCache>
                <c:ptCount val="5"/>
                <c:pt idx="0">
                  <c:v>99store</c:v>
                </c:pt>
                <c:pt idx="1">
                  <c:v>Atul Ltd.</c:v>
                </c:pt>
                <c:pt idx="2">
                  <c:v>Jain Tel.</c:v>
                </c:pt>
                <c:pt idx="3">
                  <c:v>MK Tech.</c:v>
                </c:pt>
                <c:pt idx="4">
                  <c:v>Ram sales</c:v>
                </c:pt>
              </c:strCache>
            </c:strRef>
          </c:cat>
          <c:val>
            <c:numRef>
              <c:f>pivots!$G$15:$G$20</c:f>
              <c:numCache>
                <c:formatCode>_ "₹"\ * #,##0_ ;_ "₹"\ * \-#,##0_ ;_ "₹"\ * "-"_ ;_ @_ </c:formatCode>
                <c:ptCount val="5"/>
                <c:pt idx="0">
                  <c:v>1386000</c:v>
                </c:pt>
                <c:pt idx="1">
                  <c:v>1200600</c:v>
                </c:pt>
                <c:pt idx="2">
                  <c:v>1060800</c:v>
                </c:pt>
                <c:pt idx="3">
                  <c:v>209760</c:v>
                </c:pt>
                <c:pt idx="4">
                  <c:v>31752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6-4F75-8F45-0D27FA051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3476688"/>
        <c:axId val="1603482928"/>
      </c:barChart>
      <c:catAx>
        <c:axId val="160347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82928"/>
        <c:crosses val="autoZero"/>
        <c:auto val="1"/>
        <c:lblAlgn val="ctr"/>
        <c:lblOffset val="100"/>
        <c:noMultiLvlLbl val="0"/>
      </c:catAx>
      <c:valAx>
        <c:axId val="160348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7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Worksheet.xlsx]pivots!PivotTable10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462668816039986E-17"/>
              <c:y val="-0.254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120370370370370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8798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58-4F61-8387-98A6DE9557F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58-4F61-8387-98A6DE9557F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58-4F61-8387-98A6DE9557F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58-4F61-8387-98A6DE9557F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B58-4F61-8387-98A6DE9557F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58-4F61-8387-98A6DE9557F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B58-4F61-8387-98A6DE9557F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58-4F61-8387-98A6DE9557F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B58-4F61-8387-98A6DE9557F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58-4F61-8387-98A6DE9557F1}"/>
              </c:ext>
            </c:extLst>
          </c:dPt>
          <c:dLbls>
            <c:dLbl>
              <c:idx val="0"/>
              <c:layout>
                <c:manualLayout>
                  <c:x val="-2.7777777777777779E-3"/>
                  <c:y val="-6.48148148148148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58-4F61-8387-98A6DE9557F1}"/>
                </c:ext>
              </c:extLst>
            </c:dLbl>
            <c:dLbl>
              <c:idx val="1"/>
              <c:layout>
                <c:manualLayout>
                  <c:x val="2.5462668816039986E-17"/>
                  <c:y val="-0.2546296296296296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58-4F61-8387-98A6DE9557F1}"/>
                </c:ext>
              </c:extLst>
            </c:dLbl>
            <c:dLbl>
              <c:idx val="2"/>
              <c:layout>
                <c:manualLayout>
                  <c:x val="-5.0925337632079971E-17"/>
                  <c:y val="-0.189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58-4F61-8387-98A6DE9557F1}"/>
                </c:ext>
              </c:extLst>
            </c:dLbl>
            <c:dLbl>
              <c:idx val="3"/>
              <c:layout>
                <c:manualLayout>
                  <c:x val="0"/>
                  <c:y val="-8.33333333333334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58-4F61-8387-98A6DE9557F1}"/>
                </c:ext>
              </c:extLst>
            </c:dLbl>
            <c:dLbl>
              <c:idx val="4"/>
              <c:layout>
                <c:manualLayout>
                  <c:x val="-5.0925337632079971E-17"/>
                  <c:y val="-0.1203703703703704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58-4F61-8387-98A6DE9557F1}"/>
                </c:ext>
              </c:extLst>
            </c:dLbl>
            <c:dLbl>
              <c:idx val="5"/>
              <c:layout>
                <c:manualLayout>
                  <c:x val="-1.0185067526415994E-16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58-4F61-8387-98A6DE9557F1}"/>
                </c:ext>
              </c:extLst>
            </c:dLbl>
            <c:dLbl>
              <c:idx val="6"/>
              <c:layout>
                <c:manualLayout>
                  <c:x val="0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B58-4F61-8387-98A6DE9557F1}"/>
                </c:ext>
              </c:extLst>
            </c:dLbl>
            <c:dLbl>
              <c:idx val="7"/>
              <c:layout>
                <c:manualLayout>
                  <c:x val="0"/>
                  <c:y val="-0.296296296296296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58-4F61-8387-98A6DE9557F1}"/>
                </c:ext>
              </c:extLst>
            </c:dLbl>
            <c:dLbl>
              <c:idx val="8"/>
              <c:layout>
                <c:manualLayout>
                  <c:x val="1.0185067526415994E-16"/>
                  <c:y val="-0.212962962962962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58-4F61-8387-98A6DE9557F1}"/>
                </c:ext>
              </c:extLst>
            </c:dLbl>
            <c:dLbl>
              <c:idx val="9"/>
              <c:layout>
                <c:manualLayout>
                  <c:x val="2.7777777777778798E-3"/>
                  <c:y val="-6.48148148148148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58-4F61-8387-98A6DE9557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pivots!$A$27:$A$37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pivots!$B$27:$B$37</c:f>
              <c:numCache>
                <c:formatCode>General</c:formatCode>
                <c:ptCount val="10"/>
                <c:pt idx="0">
                  <c:v>3</c:v>
                </c:pt>
                <c:pt idx="1">
                  <c:v>45</c:v>
                </c:pt>
                <c:pt idx="2">
                  <c:v>35</c:v>
                </c:pt>
                <c:pt idx="3">
                  <c:v>1</c:v>
                </c:pt>
                <c:pt idx="4">
                  <c:v>1</c:v>
                </c:pt>
                <c:pt idx="5">
                  <c:v>17</c:v>
                </c:pt>
                <c:pt idx="6">
                  <c:v>13</c:v>
                </c:pt>
                <c:pt idx="7">
                  <c:v>55</c:v>
                </c:pt>
                <c:pt idx="8">
                  <c:v>40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8-4F61-8387-98A6DE9557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5569152"/>
        <c:axId val="1605570112"/>
      </c:barChart>
      <c:catAx>
        <c:axId val="16055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70112"/>
        <c:crosses val="autoZero"/>
        <c:auto val="1"/>
        <c:lblAlgn val="ctr"/>
        <c:lblOffset val="100"/>
        <c:noMultiLvlLbl val="0"/>
      </c:catAx>
      <c:valAx>
        <c:axId val="160557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556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28" Type="http://schemas.openxmlformats.org/officeDocument/2006/relationships/chart" Target="../charts/chart2.xml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22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21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24.svg"/><Relationship Id="rId23" Type="http://schemas.openxmlformats.org/officeDocument/2006/relationships/image" Target="../media/image1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23.png"/><Relationship Id="rId22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26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25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27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28" Type="http://schemas.openxmlformats.org/officeDocument/2006/relationships/image" Target="../media/image30.svg"/><Relationship Id="rId10" Type="http://schemas.openxmlformats.org/officeDocument/2006/relationships/image" Target="../media/image19.png"/><Relationship Id="rId19" Type="http://schemas.openxmlformats.org/officeDocument/2006/relationships/image" Target="../media/image28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Relationship Id="rId27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32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31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3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3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'New Entry Purchase'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svg"/><Relationship Id="rId24" Type="http://schemas.openxmlformats.org/officeDocument/2006/relationships/hyperlink" Target="#Purchase!A1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36.svg"/><Relationship Id="rId10" Type="http://schemas.openxmlformats.org/officeDocument/2006/relationships/image" Target="../media/image19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3" name="Graphic 2" descr="Checklist with solid fill">
          <a:extLst>
            <a:ext uri="{FF2B5EF4-FFF2-40B4-BE49-F238E27FC236}">
              <a16:creationId xmlns:a16="http://schemas.microsoft.com/office/drawing/2014/main" id="{45C1708B-F26C-6B32-DEDA-8FA1638E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D9C7B2E-BF5E-6767-2A42-55ADAD41182E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8</xdr:row>
      <xdr:rowOff>15240</xdr:rowOff>
    </xdr:from>
    <xdr:to>
      <xdr:col>1</xdr:col>
      <xdr:colOff>1237641</xdr:colOff>
      <xdr:row>10</xdr:row>
      <xdr:rowOff>68580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55A0BD-49EF-FA77-DECF-C35D1ABDC15B}"/>
            </a:ext>
          </a:extLst>
        </xdr:cNvPr>
        <xdr:cNvSpPr/>
      </xdr:nvSpPr>
      <xdr:spPr>
        <a:xfrm>
          <a:off x="231801" y="1478280"/>
          <a:ext cx="120396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993BA5-1A1F-CD29-D283-EC2B51E205D4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13</xdr:row>
      <xdr:rowOff>53764</xdr:rowOff>
    </xdr:from>
    <xdr:to>
      <xdr:col>1</xdr:col>
      <xdr:colOff>1519820</xdr:colOff>
      <xdr:row>15</xdr:row>
      <xdr:rowOff>107104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991E42-8EC8-0196-D030-EAEB9E23B69E}"/>
            </a:ext>
          </a:extLst>
        </xdr:cNvPr>
        <xdr:cNvSpPr/>
      </xdr:nvSpPr>
      <xdr:spPr>
        <a:xfrm>
          <a:off x="231801" y="2431204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15</xdr:row>
      <xdr:rowOff>164466</xdr:rowOff>
    </xdr:from>
    <xdr:to>
      <xdr:col>1</xdr:col>
      <xdr:colOff>1519820</xdr:colOff>
      <xdr:row>18</xdr:row>
      <xdr:rowOff>34926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699008F-9A97-F0C5-5152-6DD3061938D4}"/>
            </a:ext>
          </a:extLst>
        </xdr:cNvPr>
        <xdr:cNvSpPr/>
      </xdr:nvSpPr>
      <xdr:spPr>
        <a:xfrm>
          <a:off x="231801" y="2907666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480908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028E39-59D8-E14E-CB6D-5A1F8D6C5AB5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100330</xdr:rowOff>
    </xdr:from>
    <xdr:to>
      <xdr:col>1</xdr:col>
      <xdr:colOff>1553492</xdr:colOff>
      <xdr:row>24</xdr:row>
      <xdr:rowOff>153670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567417-DC56-4839-523C-B289B060086F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0716AA-3172-4B19-9962-788288125511}"/>
            </a:ext>
          </a:extLst>
        </xdr:cNvPr>
        <xdr:cNvSpPr/>
      </xdr:nvSpPr>
      <xdr:spPr>
        <a:xfrm>
          <a:off x="240648" y="453390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10</xdr:row>
      <xdr:rowOff>18559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C35ABA4A-4616-B860-BED8-B96AEEDC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109268</xdr:rowOff>
    </xdr:to>
    <xdr:pic>
      <xdr:nvPicPr>
        <xdr:cNvPr id="15" name="Graphic 14" descr="User with solid fill">
          <a:extLst>
            <a:ext uri="{FF2B5EF4-FFF2-40B4-BE49-F238E27FC236}">
              <a16:creationId xmlns:a16="http://schemas.microsoft.com/office/drawing/2014/main" id="{EA2D4BE2-02CA-2163-DB15-52716EC08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15</xdr:row>
      <xdr:rowOff>17097</xdr:rowOff>
    </xdr:to>
    <xdr:pic>
      <xdr:nvPicPr>
        <xdr:cNvPr id="17" name="Graphic 16" descr="Shopping cart with solid fill">
          <a:extLst>
            <a:ext uri="{FF2B5EF4-FFF2-40B4-BE49-F238E27FC236}">
              <a16:creationId xmlns:a16="http://schemas.microsoft.com/office/drawing/2014/main" id="{C9D1DA9A-5899-B30A-D288-2AE4BD9B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143806</xdr:rowOff>
    </xdr:to>
    <xdr:pic>
      <xdr:nvPicPr>
        <xdr:cNvPr id="19" name="Graphic 18" descr="Handshake with solid fill">
          <a:extLst>
            <a:ext uri="{FF2B5EF4-FFF2-40B4-BE49-F238E27FC236}">
              <a16:creationId xmlns:a16="http://schemas.microsoft.com/office/drawing/2014/main" id="{D577A728-7DA7-2B13-7B6E-8DA96D4BE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165394</xdr:rowOff>
    </xdr:from>
    <xdr:to>
      <xdr:col>1</xdr:col>
      <xdr:colOff>333720</xdr:colOff>
      <xdr:row>19</xdr:row>
      <xdr:rowOff>259079</xdr:rowOff>
    </xdr:to>
    <xdr:pic>
      <xdr:nvPicPr>
        <xdr:cNvPr id="21" name="Graphic 20" descr="Newspaper with solid fill">
          <a:extLst>
            <a:ext uri="{FF2B5EF4-FFF2-40B4-BE49-F238E27FC236}">
              <a16:creationId xmlns:a16="http://schemas.microsoft.com/office/drawing/2014/main" id="{8428D54C-72E0-A771-0574-CED6F7DB2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4"/>
          <a:ext cx="288000" cy="37562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85093</xdr:rowOff>
    </xdr:to>
    <xdr:pic>
      <xdr:nvPicPr>
        <xdr:cNvPr id="23" name="Graphic 22" descr="Business Growth with solid fill">
          <a:extLst>
            <a:ext uri="{FF2B5EF4-FFF2-40B4-BE49-F238E27FC236}">
              <a16:creationId xmlns:a16="http://schemas.microsoft.com/office/drawing/2014/main" id="{DB9EBF2B-169F-1D99-9155-55606CE08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25" name="Graphic 24" descr="Closed book with solid fill">
          <a:extLst>
            <a:ext uri="{FF2B5EF4-FFF2-40B4-BE49-F238E27FC236}">
              <a16:creationId xmlns:a16="http://schemas.microsoft.com/office/drawing/2014/main" id="{5731045C-DD50-5BB1-EA71-3F7DF8FE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83820</xdr:rowOff>
    </xdr:from>
    <xdr:to>
      <xdr:col>21</xdr:col>
      <xdr:colOff>449580</xdr:colOff>
      <xdr:row>5</xdr:row>
      <xdr:rowOff>137160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1389540-6F86-EC2B-8298-0B5F76DA3A25}"/>
            </a:ext>
          </a:extLst>
        </xdr:cNvPr>
        <xdr:cNvSpPr/>
      </xdr:nvSpPr>
      <xdr:spPr>
        <a:xfrm>
          <a:off x="2286000" y="266700"/>
          <a:ext cx="1142238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B192180-58EE-8BC2-152E-868758E87722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19</xdr:row>
      <xdr:rowOff>561130</xdr:rowOff>
    </xdr:from>
    <xdr:to>
      <xdr:col>1</xdr:col>
      <xdr:colOff>1264920</xdr:colOff>
      <xdr:row>22</xdr:row>
      <xdr:rowOff>42970</xdr:rowOff>
    </xdr:to>
    <xdr:sp macro="" textlink="">
      <xdr:nvSpPr>
        <xdr:cNvPr id="28" name="Rectangle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25D87FB-5DAD-4D20-102F-3EF8F7D183FC}"/>
            </a:ext>
          </a:extLst>
        </xdr:cNvPr>
        <xdr:cNvSpPr/>
      </xdr:nvSpPr>
      <xdr:spPr>
        <a:xfrm>
          <a:off x="231801" y="4035850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21</xdr:row>
      <xdr:rowOff>93984</xdr:rowOff>
    </xdr:to>
    <xdr:pic>
      <xdr:nvPicPr>
        <xdr:cNvPr id="30" name="Graphic 29" descr="Bar chart with solid fill">
          <a:extLst>
            <a:ext uri="{FF2B5EF4-FFF2-40B4-BE49-F238E27FC236}">
              <a16:creationId xmlns:a16="http://schemas.microsoft.com/office/drawing/2014/main" id="{C07E2188-2415-1E92-5CC7-3DBA04EB6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7</xdr:row>
      <xdr:rowOff>106680</xdr:rowOff>
    </xdr:from>
    <xdr:to>
      <xdr:col>5</xdr:col>
      <xdr:colOff>365760</xdr:colOff>
      <xdr:row>11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5E2150-84B0-48E8-9464-842CD9B4A8E9}"/>
            </a:ext>
          </a:extLst>
        </xdr:cNvPr>
        <xdr:cNvSpPr/>
      </xdr:nvSpPr>
      <xdr:spPr>
        <a:xfrm>
          <a:off x="2415540" y="1386840"/>
          <a:ext cx="1638300" cy="7162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       </a:t>
          </a:r>
          <a:r>
            <a:rPr lang="en-IN" sz="1600" baseline="0">
              <a:solidFill>
                <a:schemeClr val="tx1"/>
              </a:solidFill>
            </a:rPr>
            <a:t>Customers</a:t>
          </a:r>
          <a:r>
            <a:rPr lang="en-IN" sz="2000" baseline="0">
              <a:solidFill>
                <a:schemeClr val="tx1"/>
              </a:solidFill>
            </a:rPr>
            <a:t> 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7</xdr:row>
      <xdr:rowOff>106680</xdr:rowOff>
    </xdr:from>
    <xdr:to>
      <xdr:col>3</xdr:col>
      <xdr:colOff>183642</xdr:colOff>
      <xdr:row>11</xdr:row>
      <xdr:rowOff>86095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7627638-D769-1A17-A7F0-26B2F828B0A7}"/>
            </a:ext>
          </a:extLst>
        </xdr:cNvPr>
        <xdr:cNvSpPr/>
      </xdr:nvSpPr>
      <xdr:spPr>
        <a:xfrm>
          <a:off x="2423160" y="1386840"/>
          <a:ext cx="229362" cy="710935"/>
        </a:xfrm>
        <a:prstGeom prst="rect">
          <a:avLst/>
        </a:prstGeom>
        <a:solidFill>
          <a:srgbClr val="00B0F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6</xdr:col>
      <xdr:colOff>30480</xdr:colOff>
      <xdr:row>7</xdr:row>
      <xdr:rowOff>121920</xdr:rowOff>
    </xdr:from>
    <xdr:to>
      <xdr:col>8</xdr:col>
      <xdr:colOff>472440</xdr:colOff>
      <xdr:row>11</xdr:row>
      <xdr:rowOff>99060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BFA1BC-1B5D-150A-E9CF-344BDB571DD2}"/>
            </a:ext>
          </a:extLst>
        </xdr:cNvPr>
        <xdr:cNvSpPr/>
      </xdr:nvSpPr>
      <xdr:spPr>
        <a:xfrm>
          <a:off x="4328160" y="1402080"/>
          <a:ext cx="1661160" cy="7086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aseline="0">
              <a:solidFill>
                <a:schemeClr val="tx1"/>
              </a:solidFill>
            </a:rPr>
            <a:t>        Products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38100</xdr:colOff>
      <xdr:row>7</xdr:row>
      <xdr:rowOff>121921</xdr:rowOff>
    </xdr:from>
    <xdr:to>
      <xdr:col>6</xdr:col>
      <xdr:colOff>270662</xdr:colOff>
      <xdr:row>11</xdr:row>
      <xdr:rowOff>93773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F23AA17-5921-6F96-EFE5-D87095FE604C}"/>
            </a:ext>
          </a:extLst>
        </xdr:cNvPr>
        <xdr:cNvSpPr/>
      </xdr:nvSpPr>
      <xdr:spPr>
        <a:xfrm>
          <a:off x="4335780" y="1402081"/>
          <a:ext cx="232562" cy="703372"/>
        </a:xfrm>
        <a:prstGeom prst="rect">
          <a:avLst/>
        </a:prstGeom>
        <a:solidFill>
          <a:schemeClr val="accent2">
            <a:lumMod val="7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9</xdr:col>
      <xdr:colOff>175260</xdr:colOff>
      <xdr:row>7</xdr:row>
      <xdr:rowOff>129540</xdr:rowOff>
    </xdr:from>
    <xdr:to>
      <xdr:col>12</xdr:col>
      <xdr:colOff>7620</xdr:colOff>
      <xdr:row>11</xdr:row>
      <xdr:rowOff>106680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BA47FEA-2DA7-21AA-2C1D-DCBC1AF01144}"/>
            </a:ext>
          </a:extLst>
        </xdr:cNvPr>
        <xdr:cNvSpPr/>
      </xdr:nvSpPr>
      <xdr:spPr>
        <a:xfrm>
          <a:off x="6301740" y="1409700"/>
          <a:ext cx="1661160" cy="7086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aseline="0">
              <a:solidFill>
                <a:schemeClr val="tx1"/>
              </a:solidFill>
            </a:rPr>
            <a:t>     P</a:t>
          </a:r>
          <a:r>
            <a:rPr lang="en-IN" sz="1600" baseline="0">
              <a:solidFill>
                <a:schemeClr val="tx1"/>
              </a:solidFill>
            </a:rPr>
            <a:t>urchaseAmt.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182880</xdr:colOff>
      <xdr:row>7</xdr:row>
      <xdr:rowOff>129541</xdr:rowOff>
    </xdr:from>
    <xdr:to>
      <xdr:col>9</xdr:col>
      <xdr:colOff>415442</xdr:colOff>
      <xdr:row>11</xdr:row>
      <xdr:rowOff>101393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388E605-A769-B92F-1ED5-1CCDA95A08B2}"/>
            </a:ext>
          </a:extLst>
        </xdr:cNvPr>
        <xdr:cNvSpPr/>
      </xdr:nvSpPr>
      <xdr:spPr>
        <a:xfrm>
          <a:off x="6309360" y="1409701"/>
          <a:ext cx="232562" cy="703372"/>
        </a:xfrm>
        <a:prstGeom prst="rect">
          <a:avLst/>
        </a:prstGeom>
        <a:solidFill>
          <a:srgbClr val="92D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12</xdr:col>
      <xdr:colOff>289560</xdr:colOff>
      <xdr:row>7</xdr:row>
      <xdr:rowOff>144780</xdr:rowOff>
    </xdr:from>
    <xdr:to>
      <xdr:col>15</xdr:col>
      <xdr:colOff>121920</xdr:colOff>
      <xdr:row>11</xdr:row>
      <xdr:rowOff>129540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34AEA7A-74AB-3221-A32B-8D9BB2C03A42}"/>
            </a:ext>
          </a:extLst>
        </xdr:cNvPr>
        <xdr:cNvSpPr/>
      </xdr:nvSpPr>
      <xdr:spPr>
        <a:xfrm>
          <a:off x="8244840" y="1424940"/>
          <a:ext cx="1661160" cy="7162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aseline="0">
              <a:solidFill>
                <a:schemeClr val="tx1"/>
              </a:solidFill>
            </a:rPr>
            <a:t>     Sales Amt.</a:t>
          </a:r>
          <a:r>
            <a:rPr lang="en-IN" sz="1600" baseline="0">
              <a:solidFill>
                <a:schemeClr val="tx1"/>
              </a:solidFill>
            </a:rPr>
            <a:t>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12</xdr:col>
      <xdr:colOff>297180</xdr:colOff>
      <xdr:row>7</xdr:row>
      <xdr:rowOff>144780</xdr:rowOff>
    </xdr:from>
    <xdr:to>
      <xdr:col>12</xdr:col>
      <xdr:colOff>529742</xdr:colOff>
      <xdr:row>11</xdr:row>
      <xdr:rowOff>124195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C9906FD-7747-4D67-68D1-68B5956F0B35}"/>
            </a:ext>
          </a:extLst>
        </xdr:cNvPr>
        <xdr:cNvSpPr/>
      </xdr:nvSpPr>
      <xdr:spPr>
        <a:xfrm>
          <a:off x="8252460" y="1424940"/>
          <a:ext cx="232562" cy="710935"/>
        </a:xfrm>
        <a:prstGeom prst="rect">
          <a:avLst/>
        </a:prstGeom>
        <a:solidFill>
          <a:srgbClr val="7030A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15</xdr:col>
      <xdr:colOff>426720</xdr:colOff>
      <xdr:row>7</xdr:row>
      <xdr:rowOff>129540</xdr:rowOff>
    </xdr:from>
    <xdr:to>
      <xdr:col>18</xdr:col>
      <xdr:colOff>259080</xdr:colOff>
      <xdr:row>11</xdr:row>
      <xdr:rowOff>114300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5465490-43F9-5637-2037-AB8B2EF63B7C}"/>
            </a:ext>
          </a:extLst>
        </xdr:cNvPr>
        <xdr:cNvSpPr/>
      </xdr:nvSpPr>
      <xdr:spPr>
        <a:xfrm>
          <a:off x="10210800" y="1409700"/>
          <a:ext cx="1661160" cy="7162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aseline="0">
              <a:solidFill>
                <a:schemeClr val="tx1"/>
              </a:solidFill>
            </a:rPr>
            <a:t>     Profit/ loss</a:t>
          </a:r>
          <a:r>
            <a:rPr lang="en-IN" sz="1600" baseline="0">
              <a:solidFill>
                <a:schemeClr val="tx1"/>
              </a:solidFill>
            </a:rPr>
            <a:t>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15</xdr:col>
      <xdr:colOff>434340</xdr:colOff>
      <xdr:row>7</xdr:row>
      <xdr:rowOff>129540</xdr:rowOff>
    </xdr:from>
    <xdr:to>
      <xdr:col>16</xdr:col>
      <xdr:colOff>57302</xdr:colOff>
      <xdr:row>11</xdr:row>
      <xdr:rowOff>108955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BA9EC4E-602F-D138-4AC8-64B4C0F175DD}"/>
            </a:ext>
          </a:extLst>
        </xdr:cNvPr>
        <xdr:cNvSpPr/>
      </xdr:nvSpPr>
      <xdr:spPr>
        <a:xfrm>
          <a:off x="10218420" y="1409700"/>
          <a:ext cx="232562" cy="710935"/>
        </a:xfrm>
        <a:prstGeom prst="rect">
          <a:avLst/>
        </a:prstGeom>
        <a:solidFill>
          <a:srgbClr val="FFFF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18</xdr:col>
      <xdr:colOff>548640</xdr:colOff>
      <xdr:row>7</xdr:row>
      <xdr:rowOff>129540</xdr:rowOff>
    </xdr:from>
    <xdr:to>
      <xdr:col>21</xdr:col>
      <xdr:colOff>381000</xdr:colOff>
      <xdr:row>11</xdr:row>
      <xdr:rowOff>114300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43729D5-A9AA-EAD2-2F71-F64389B9D7C0}"/>
            </a:ext>
          </a:extLst>
        </xdr:cNvPr>
        <xdr:cNvSpPr/>
      </xdr:nvSpPr>
      <xdr:spPr>
        <a:xfrm>
          <a:off x="12161520" y="1409700"/>
          <a:ext cx="1661160" cy="7162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aseline="0">
              <a:solidFill>
                <a:schemeClr val="tx1"/>
              </a:solidFill>
            </a:rPr>
            <a:t>     Stock Amt.</a:t>
          </a:r>
          <a:r>
            <a:rPr lang="en-IN" sz="1600" baseline="0">
              <a:solidFill>
                <a:schemeClr val="tx1"/>
              </a:solidFill>
            </a:rPr>
            <a:t>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18</xdr:col>
      <xdr:colOff>556260</xdr:colOff>
      <xdr:row>7</xdr:row>
      <xdr:rowOff>129540</xdr:rowOff>
    </xdr:from>
    <xdr:to>
      <xdr:col>19</xdr:col>
      <xdr:colOff>179222</xdr:colOff>
      <xdr:row>11</xdr:row>
      <xdr:rowOff>108955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991F803-9D6A-3304-D495-4CC843C0013D}"/>
            </a:ext>
          </a:extLst>
        </xdr:cNvPr>
        <xdr:cNvSpPr/>
      </xdr:nvSpPr>
      <xdr:spPr>
        <a:xfrm>
          <a:off x="12169140" y="1409700"/>
          <a:ext cx="232562" cy="710935"/>
        </a:xfrm>
        <a:prstGeom prst="rect">
          <a:avLst/>
        </a:prstGeom>
        <a:solidFill>
          <a:srgbClr val="CC0099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CC0099"/>
            </a:solidFill>
          </a:endParaRPr>
        </a:p>
      </xdr:txBody>
    </xdr:sp>
    <xdr:clientData/>
  </xdr:twoCellAnchor>
  <xdr:twoCellAnchor editAs="absolute">
    <xdr:from>
      <xdr:col>3</xdr:col>
      <xdr:colOff>304800</xdr:colOff>
      <xdr:row>9</xdr:row>
      <xdr:rowOff>68580</xdr:rowOff>
    </xdr:from>
    <xdr:to>
      <xdr:col>4</xdr:col>
      <xdr:colOff>297180</xdr:colOff>
      <xdr:row>10</xdr:row>
      <xdr:rowOff>167640</xdr:rowOff>
    </xdr:to>
    <xdr:sp macro="" textlink="pivots!C4">
      <xdr:nvSpPr>
        <xdr:cNvPr id="35" name="Rectangle 34">
          <a:extLst>
            <a:ext uri="{FF2B5EF4-FFF2-40B4-BE49-F238E27FC236}">
              <a16:creationId xmlns:a16="http://schemas.microsoft.com/office/drawing/2014/main" id="{70CFC2FC-BE3E-F493-8A99-7724647F788E}"/>
            </a:ext>
          </a:extLst>
        </xdr:cNvPr>
        <xdr:cNvSpPr/>
      </xdr:nvSpPr>
      <xdr:spPr>
        <a:xfrm>
          <a:off x="2773680" y="1714500"/>
          <a:ext cx="6019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7B318FE-33D2-4C89-B593-728E16023D21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7</a:t>
          </a:fld>
          <a:endParaRPr lang="en-IN" sz="1800" b="1"/>
        </a:p>
      </xdr:txBody>
    </xdr:sp>
    <xdr:clientData/>
  </xdr:twoCellAnchor>
  <xdr:twoCellAnchor editAs="absolute">
    <xdr:from>
      <xdr:col>6</xdr:col>
      <xdr:colOff>373380</xdr:colOff>
      <xdr:row>9</xdr:row>
      <xdr:rowOff>45720</xdr:rowOff>
    </xdr:from>
    <xdr:to>
      <xdr:col>8</xdr:col>
      <xdr:colOff>381000</xdr:colOff>
      <xdr:row>10</xdr:row>
      <xdr:rowOff>144780</xdr:rowOff>
    </xdr:to>
    <xdr:sp macro="" textlink="pivots!C7">
      <xdr:nvSpPr>
        <xdr:cNvPr id="36" name="Rectangle 35">
          <a:extLst>
            <a:ext uri="{FF2B5EF4-FFF2-40B4-BE49-F238E27FC236}">
              <a16:creationId xmlns:a16="http://schemas.microsoft.com/office/drawing/2014/main" id="{5C74F3DB-9C9C-5DCC-C5F7-25D13E1485E5}"/>
            </a:ext>
          </a:extLst>
        </xdr:cNvPr>
        <xdr:cNvSpPr/>
      </xdr:nvSpPr>
      <xdr:spPr>
        <a:xfrm>
          <a:off x="4671060" y="16916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987862-0C40-4E47-8657-3865693B6135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10</a:t>
          </a:fld>
          <a:endParaRPr lang="en-IN" sz="1800" b="1"/>
        </a:p>
      </xdr:txBody>
    </xdr:sp>
    <xdr:clientData/>
  </xdr:twoCellAnchor>
  <xdr:twoCellAnchor editAs="absolute">
    <xdr:from>
      <xdr:col>9</xdr:col>
      <xdr:colOff>449580</xdr:colOff>
      <xdr:row>9</xdr:row>
      <xdr:rowOff>60960</xdr:rowOff>
    </xdr:from>
    <xdr:to>
      <xdr:col>11</xdr:col>
      <xdr:colOff>548640</xdr:colOff>
      <xdr:row>10</xdr:row>
      <xdr:rowOff>160020</xdr:rowOff>
    </xdr:to>
    <xdr:sp macro="" textlink="pivots!C10">
      <xdr:nvSpPr>
        <xdr:cNvPr id="37" name="Rectangle 36">
          <a:extLst>
            <a:ext uri="{FF2B5EF4-FFF2-40B4-BE49-F238E27FC236}">
              <a16:creationId xmlns:a16="http://schemas.microsoft.com/office/drawing/2014/main" id="{EB637BDE-484F-3EA8-B0B7-96AB00332822}"/>
            </a:ext>
          </a:extLst>
        </xdr:cNvPr>
        <xdr:cNvSpPr/>
      </xdr:nvSpPr>
      <xdr:spPr>
        <a:xfrm>
          <a:off x="6576060" y="1706880"/>
          <a:ext cx="13182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CA22AAF-6B3D-4DEA-B043-400ED4A8729E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₹5,463,215</a:t>
          </a:fld>
          <a:endParaRPr lang="en-IN" sz="1800" b="1"/>
        </a:p>
      </xdr:txBody>
    </xdr:sp>
    <xdr:clientData/>
  </xdr:twoCellAnchor>
  <xdr:twoCellAnchor editAs="absolute">
    <xdr:from>
      <xdr:col>12</xdr:col>
      <xdr:colOff>579120</xdr:colOff>
      <xdr:row>9</xdr:row>
      <xdr:rowOff>83820</xdr:rowOff>
    </xdr:from>
    <xdr:to>
      <xdr:col>15</xdr:col>
      <xdr:colOff>68580</xdr:colOff>
      <xdr:row>11</xdr:row>
      <xdr:rowOff>0</xdr:rowOff>
    </xdr:to>
    <xdr:sp macro="" textlink="pivots!C13">
      <xdr:nvSpPr>
        <xdr:cNvPr id="38" name="Rectangle 37">
          <a:extLst>
            <a:ext uri="{FF2B5EF4-FFF2-40B4-BE49-F238E27FC236}">
              <a16:creationId xmlns:a16="http://schemas.microsoft.com/office/drawing/2014/main" id="{18799028-F9AB-D4E3-8FE4-C4E3BF038179}"/>
            </a:ext>
          </a:extLst>
        </xdr:cNvPr>
        <xdr:cNvSpPr/>
      </xdr:nvSpPr>
      <xdr:spPr>
        <a:xfrm>
          <a:off x="8534400" y="1729740"/>
          <a:ext cx="13182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3153E3D-2967-4D29-A7FC-C9FB2FD4435D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₹3,906,936</a:t>
          </a:fld>
          <a:endParaRPr lang="en-IN" sz="1800" b="1"/>
        </a:p>
      </xdr:txBody>
    </xdr:sp>
    <xdr:clientData/>
  </xdr:twoCellAnchor>
  <xdr:twoCellAnchor editAs="absolute">
    <xdr:from>
      <xdr:col>16</xdr:col>
      <xdr:colOff>114300</xdr:colOff>
      <xdr:row>9</xdr:row>
      <xdr:rowOff>60960</xdr:rowOff>
    </xdr:from>
    <xdr:to>
      <xdr:col>18</xdr:col>
      <xdr:colOff>213360</xdr:colOff>
      <xdr:row>10</xdr:row>
      <xdr:rowOff>160020</xdr:rowOff>
    </xdr:to>
    <xdr:sp macro="" textlink="pivots!C19">
      <xdr:nvSpPr>
        <xdr:cNvPr id="39" name="Rectangle 38">
          <a:extLst>
            <a:ext uri="{FF2B5EF4-FFF2-40B4-BE49-F238E27FC236}">
              <a16:creationId xmlns:a16="http://schemas.microsoft.com/office/drawing/2014/main" id="{CFBB368B-2B31-2AFB-B2CA-06798581C76C}"/>
            </a:ext>
          </a:extLst>
        </xdr:cNvPr>
        <xdr:cNvSpPr/>
      </xdr:nvSpPr>
      <xdr:spPr>
        <a:xfrm>
          <a:off x="10507980" y="1706880"/>
          <a:ext cx="13182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02CCE48-081D-4732-ABA6-BA58382D5976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₹611,956</a:t>
          </a:fld>
          <a:endParaRPr lang="en-IN" sz="1800" b="1"/>
        </a:p>
      </xdr:txBody>
    </xdr:sp>
    <xdr:clientData/>
  </xdr:twoCellAnchor>
  <xdr:twoCellAnchor editAs="absolute">
    <xdr:from>
      <xdr:col>19</xdr:col>
      <xdr:colOff>243840</xdr:colOff>
      <xdr:row>9</xdr:row>
      <xdr:rowOff>68580</xdr:rowOff>
    </xdr:from>
    <xdr:to>
      <xdr:col>21</xdr:col>
      <xdr:colOff>342900</xdr:colOff>
      <xdr:row>10</xdr:row>
      <xdr:rowOff>167640</xdr:rowOff>
    </xdr:to>
    <xdr:sp macro="" textlink="pivots!C16">
      <xdr:nvSpPr>
        <xdr:cNvPr id="40" name="Rectangle 39">
          <a:extLst>
            <a:ext uri="{FF2B5EF4-FFF2-40B4-BE49-F238E27FC236}">
              <a16:creationId xmlns:a16="http://schemas.microsoft.com/office/drawing/2014/main" id="{5CE292D4-48A7-06CA-6F45-0E8A894ED0FF}"/>
            </a:ext>
          </a:extLst>
        </xdr:cNvPr>
        <xdr:cNvSpPr/>
      </xdr:nvSpPr>
      <xdr:spPr>
        <a:xfrm>
          <a:off x="12466320" y="1714500"/>
          <a:ext cx="13182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AE2A57C-7135-47C1-BDC6-DE7EB4FBE7F9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₹2,168,235</a:t>
          </a:fld>
          <a:endParaRPr lang="en-IN" sz="1800" b="1"/>
        </a:p>
      </xdr:txBody>
    </xdr:sp>
    <xdr:clientData/>
  </xdr:twoCellAnchor>
  <xdr:twoCellAnchor>
    <xdr:from>
      <xdr:col>2</xdr:col>
      <xdr:colOff>312420</xdr:colOff>
      <xdr:row>14</xdr:row>
      <xdr:rowOff>30480</xdr:rowOff>
    </xdr:from>
    <xdr:to>
      <xdr:col>7</xdr:col>
      <xdr:colOff>251460</xdr:colOff>
      <xdr:row>22</xdr:row>
      <xdr:rowOff>15240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ABFF9EF-E18E-48C1-B5F3-CD34611B7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449580</xdr:colOff>
      <xdr:row>14</xdr:row>
      <xdr:rowOff>22860</xdr:rowOff>
    </xdr:from>
    <xdr:to>
      <xdr:col>12</xdr:col>
      <xdr:colOff>419100</xdr:colOff>
      <xdr:row>22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3E653EE-DCC4-44D6-B433-35DE75122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205740</xdr:colOff>
      <xdr:row>22</xdr:row>
      <xdr:rowOff>121920</xdr:rowOff>
    </xdr:from>
    <xdr:to>
      <xdr:col>11</xdr:col>
      <xdr:colOff>480060</xdr:colOff>
      <xdr:row>35</xdr:row>
      <xdr:rowOff>129540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9E5CD0B7-86BA-4EEE-9F7E-162941768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D9D6CCAD-D00E-4D0E-A514-4FCE0A292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ABC8CB-90C0-40CA-88E7-6467F3706FD3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7</xdr:row>
      <xdr:rowOff>175260</xdr:rowOff>
    </xdr:from>
    <xdr:to>
      <xdr:col>1</xdr:col>
      <xdr:colOff>1237641</xdr:colOff>
      <xdr:row>9</xdr:row>
      <xdr:rowOff>228600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08920A-8CB7-403C-974D-1382DC8DFFB4}"/>
            </a:ext>
          </a:extLst>
        </xdr:cNvPr>
        <xdr:cNvSpPr/>
      </xdr:nvSpPr>
      <xdr:spPr>
        <a:xfrm>
          <a:off x="231801" y="1455420"/>
          <a:ext cx="120396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37011</xdr:rowOff>
    </xdr:from>
    <xdr:to>
      <xdr:col>1</xdr:col>
      <xdr:colOff>1519820</xdr:colOff>
      <xdr:row>12</xdr:row>
      <xdr:rowOff>90351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1A0F56-90BD-40DB-972D-960467CC4ADA}"/>
            </a:ext>
          </a:extLst>
        </xdr:cNvPr>
        <xdr:cNvSpPr/>
      </xdr:nvSpPr>
      <xdr:spPr>
        <a:xfrm>
          <a:off x="231801" y="2117271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12</xdr:row>
      <xdr:rowOff>165462</xdr:rowOff>
    </xdr:from>
    <xdr:to>
      <xdr:col>1</xdr:col>
      <xdr:colOff>1519820</xdr:colOff>
      <xdr:row>14</xdr:row>
      <xdr:rowOff>218802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BDECCF-D3B0-4ECD-95AB-C0255FC5470B}"/>
            </a:ext>
          </a:extLst>
        </xdr:cNvPr>
        <xdr:cNvSpPr/>
      </xdr:nvSpPr>
      <xdr:spPr>
        <a:xfrm>
          <a:off x="231801" y="2779122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15</xdr:row>
      <xdr:rowOff>27213</xdr:rowOff>
    </xdr:from>
    <xdr:to>
      <xdr:col>1</xdr:col>
      <xdr:colOff>1519820</xdr:colOff>
      <xdr:row>17</xdr:row>
      <xdr:rowOff>80553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9D2570-D44D-45FC-BFAA-FCA1C7A17F31}"/>
            </a:ext>
          </a:extLst>
        </xdr:cNvPr>
        <xdr:cNvSpPr/>
      </xdr:nvSpPr>
      <xdr:spPr>
        <a:xfrm>
          <a:off x="231801" y="3440973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17</xdr:row>
      <xdr:rowOff>155664</xdr:rowOff>
    </xdr:from>
    <xdr:to>
      <xdr:col>1</xdr:col>
      <xdr:colOff>1451001</xdr:colOff>
      <xdr:row>19</xdr:row>
      <xdr:rowOff>384264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463F7D-6D75-489D-827C-9ED5F0D814A2}"/>
            </a:ext>
          </a:extLst>
        </xdr:cNvPr>
        <xdr:cNvSpPr/>
      </xdr:nvSpPr>
      <xdr:spPr>
        <a:xfrm>
          <a:off x="384201" y="3935184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16326</xdr:rowOff>
    </xdr:from>
    <xdr:to>
      <xdr:col>1</xdr:col>
      <xdr:colOff>1553492</xdr:colOff>
      <xdr:row>24</xdr:row>
      <xdr:rowOff>69666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5529B49-2945-4ECB-B7DD-110DEBEE1637}"/>
            </a:ext>
          </a:extLst>
        </xdr:cNvPr>
        <xdr:cNvSpPr/>
      </xdr:nvSpPr>
      <xdr:spPr>
        <a:xfrm>
          <a:off x="231801" y="5098866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3FF66A-5FD8-4F71-8F54-B48A4977767F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9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91265BFE-2296-4692-BE99-2422E49E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A091C677-41EE-4604-9368-C9595995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0CB935AE-1B87-4E11-A934-64E63053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143806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80CE92FE-A2CA-47CF-AF07-C6ED3914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19</xdr:row>
      <xdr:rowOff>358140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9F48C8C6-D5DF-4043-894E-7891A2EF9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7562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030C61A6-1EEA-4433-B343-6874C2AF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D1F705FD-7DFB-4DE8-BE1E-729D4536D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53340</xdr:rowOff>
    </xdr:from>
    <xdr:to>
      <xdr:col>15</xdr:col>
      <xdr:colOff>426720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92A7354-087A-4C3A-AEF1-C2650804D739}"/>
            </a:ext>
          </a:extLst>
        </xdr:cNvPr>
        <xdr:cNvSpPr/>
      </xdr:nvSpPr>
      <xdr:spPr>
        <a:xfrm>
          <a:off x="2194560" y="236220"/>
          <a:ext cx="1143762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66F246-3F69-4B6F-97D7-D5EEE685C6FD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Customers</a:t>
          </a:r>
        </a:p>
      </xdr:txBody>
    </xdr:sp>
    <xdr:clientData/>
  </xdr:twoCellAnchor>
  <xdr:twoCellAnchor>
    <xdr:from>
      <xdr:col>1</xdr:col>
      <xdr:colOff>33681</xdr:colOff>
      <xdr:row>19</xdr:row>
      <xdr:rowOff>459375</xdr:rowOff>
    </xdr:from>
    <xdr:to>
      <xdr:col>1</xdr:col>
      <xdr:colOff>1264920</xdr:colOff>
      <xdr:row>21</xdr:row>
      <xdr:rowOff>124095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68EE1F8-23D3-4296-B3AA-9098CE48E46C}"/>
            </a:ext>
          </a:extLst>
        </xdr:cNvPr>
        <xdr:cNvSpPr/>
      </xdr:nvSpPr>
      <xdr:spPr>
        <a:xfrm>
          <a:off x="231801" y="4604655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951DE6EC-D19A-4E8E-AFDD-34A301171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4B8A1057-1F05-4A89-9994-8C0BC189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71CD3D-5A5B-48D7-9EC9-47647171072D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64161</xdr:colOff>
      <xdr:row>7</xdr:row>
      <xdr:rowOff>182880</xdr:rowOff>
    </xdr:from>
    <xdr:to>
      <xdr:col>1</xdr:col>
      <xdr:colOff>1268121</xdr:colOff>
      <xdr:row>9</xdr:row>
      <xdr:rowOff>236220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B7C284-03F9-4E99-BCB4-FB10C485C8B8}"/>
            </a:ext>
          </a:extLst>
        </xdr:cNvPr>
        <xdr:cNvSpPr/>
      </xdr:nvSpPr>
      <xdr:spPr>
        <a:xfrm>
          <a:off x="262281" y="1463040"/>
          <a:ext cx="120396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128451</xdr:rowOff>
    </xdr:from>
    <xdr:to>
      <xdr:col>1</xdr:col>
      <xdr:colOff>1519820</xdr:colOff>
      <xdr:row>12</xdr:row>
      <xdr:rowOff>181791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AF0F4B-844C-446B-8619-C2C16943B945}"/>
            </a:ext>
          </a:extLst>
        </xdr:cNvPr>
        <xdr:cNvSpPr/>
      </xdr:nvSpPr>
      <xdr:spPr>
        <a:xfrm>
          <a:off x="231801" y="2208711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12</xdr:row>
      <xdr:rowOff>241662</xdr:rowOff>
    </xdr:from>
    <xdr:to>
      <xdr:col>1</xdr:col>
      <xdr:colOff>1519820</xdr:colOff>
      <xdr:row>15</xdr:row>
      <xdr:rowOff>28302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40F5D4-AB63-441C-9A27-FEA8F59F12CF}"/>
            </a:ext>
          </a:extLst>
        </xdr:cNvPr>
        <xdr:cNvSpPr/>
      </xdr:nvSpPr>
      <xdr:spPr>
        <a:xfrm>
          <a:off x="231801" y="2855322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15</xdr:row>
      <xdr:rowOff>88173</xdr:rowOff>
    </xdr:from>
    <xdr:to>
      <xdr:col>1</xdr:col>
      <xdr:colOff>1519820</xdr:colOff>
      <xdr:row>17</xdr:row>
      <xdr:rowOff>225333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EC4FD2-F3DE-4421-97FA-7EDE13EDEBDC}"/>
            </a:ext>
          </a:extLst>
        </xdr:cNvPr>
        <xdr:cNvSpPr/>
      </xdr:nvSpPr>
      <xdr:spPr>
        <a:xfrm>
          <a:off x="231801" y="3501933"/>
          <a:ext cx="1486139" cy="670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18504</xdr:rowOff>
    </xdr:from>
    <xdr:to>
      <xdr:col>1</xdr:col>
      <xdr:colOff>1451001</xdr:colOff>
      <xdr:row>19</xdr:row>
      <xdr:rowOff>429984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969FAF-93C1-4B56-9AD2-387202F88375}"/>
            </a:ext>
          </a:extLst>
        </xdr:cNvPr>
        <xdr:cNvSpPr/>
      </xdr:nvSpPr>
      <xdr:spPr>
        <a:xfrm>
          <a:off x="384201" y="4232364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31566</xdr:rowOff>
    </xdr:from>
    <xdr:to>
      <xdr:col>1</xdr:col>
      <xdr:colOff>1553492</xdr:colOff>
      <xdr:row>24</xdr:row>
      <xdr:rowOff>84906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AB8559-7321-4E1E-9740-61EDF5746DD8}"/>
            </a:ext>
          </a:extLst>
        </xdr:cNvPr>
        <xdr:cNvSpPr/>
      </xdr:nvSpPr>
      <xdr:spPr>
        <a:xfrm>
          <a:off x="231801" y="5365566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4673B3-67AB-44C1-95EB-63E95EC49C23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9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0BFB3690-51A3-4555-9811-DF0157ED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779BFD91-7903-40C6-A0E2-5B60AE23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8694FAAF-52DE-4BF5-B23F-B1DB8E89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59986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87E0B6CF-2F68-43FC-9FFE-FB58F192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19</xdr:row>
      <xdr:rowOff>335280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7383E7C9-51F3-4204-B82A-FB561D1D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5276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9B805FFF-22EB-4675-A0E1-4C22D980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D66F7DA6-3FA3-4660-91BD-2FE66D1ED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3</xdr:col>
      <xdr:colOff>22860</xdr:colOff>
      <xdr:row>1</xdr:row>
      <xdr:rowOff>53340</xdr:rowOff>
    </xdr:from>
    <xdr:to>
      <xdr:col>15</xdr:col>
      <xdr:colOff>419100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73D33A0-6155-47FB-ABFB-CA4FA7A17641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FCE3BA5-3847-4504-8FF0-096E554CF609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19</xdr:row>
      <xdr:rowOff>489855</xdr:rowOff>
    </xdr:from>
    <xdr:to>
      <xdr:col>1</xdr:col>
      <xdr:colOff>1264920</xdr:colOff>
      <xdr:row>21</xdr:row>
      <xdr:rowOff>154575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6193CE0-7256-4AF4-8DF3-C28A2287C725}"/>
            </a:ext>
          </a:extLst>
        </xdr:cNvPr>
        <xdr:cNvSpPr/>
      </xdr:nvSpPr>
      <xdr:spPr>
        <a:xfrm>
          <a:off x="231801" y="4886595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11904D8C-01B8-4515-A2A0-1CBC1153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314DD79A-2EB5-4E80-9D33-8BE69BD6B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7F41F9-69E1-448F-A295-77073E4453C6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64161</xdr:colOff>
      <xdr:row>7</xdr:row>
      <xdr:rowOff>190500</xdr:rowOff>
    </xdr:from>
    <xdr:to>
      <xdr:col>1</xdr:col>
      <xdr:colOff>1268121</xdr:colOff>
      <xdr:row>9</xdr:row>
      <xdr:rowOff>243840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DFE578-E192-4F63-89AB-68B34B90D2EB}"/>
            </a:ext>
          </a:extLst>
        </xdr:cNvPr>
        <xdr:cNvSpPr/>
      </xdr:nvSpPr>
      <xdr:spPr>
        <a:xfrm>
          <a:off x="262281" y="1470660"/>
          <a:ext cx="120396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FC0485-4068-433C-B7C2-9EE79F87925F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13</xdr:row>
      <xdr:rowOff>53764</xdr:rowOff>
    </xdr:from>
    <xdr:to>
      <xdr:col>1</xdr:col>
      <xdr:colOff>1519820</xdr:colOff>
      <xdr:row>15</xdr:row>
      <xdr:rowOff>107104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869589-99B2-47AA-9A8E-6CAFE4B37287}"/>
            </a:ext>
          </a:extLst>
        </xdr:cNvPr>
        <xdr:cNvSpPr/>
      </xdr:nvSpPr>
      <xdr:spPr>
        <a:xfrm>
          <a:off x="231801" y="2431204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10821</xdr:colOff>
      <xdr:row>15</xdr:row>
      <xdr:rowOff>95886</xdr:rowOff>
    </xdr:from>
    <xdr:to>
      <xdr:col>1</xdr:col>
      <xdr:colOff>1496960</xdr:colOff>
      <xdr:row>17</xdr:row>
      <xdr:rowOff>233046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A90046-530D-4D3B-851B-75AEE04DD4D4}"/>
            </a:ext>
          </a:extLst>
        </xdr:cNvPr>
        <xdr:cNvSpPr/>
      </xdr:nvSpPr>
      <xdr:spPr>
        <a:xfrm>
          <a:off x="208941" y="3509646"/>
          <a:ext cx="1486139" cy="670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480908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A05568-377B-4B7A-867E-7D860BF523E4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100330</xdr:rowOff>
    </xdr:from>
    <xdr:to>
      <xdr:col>1</xdr:col>
      <xdr:colOff>1553492</xdr:colOff>
      <xdr:row>24</xdr:row>
      <xdr:rowOff>153670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0CCC071-DF28-4C45-AFEB-78B35F21E369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7AFD57-539C-49D7-B5C9-42D1E0CE8B81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9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8E471FFB-C14D-4DEA-A4DB-7E08B16A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B6732357-AFC0-4550-87B1-E909BB3E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C3CF2967-8E18-4D7F-A770-1A0426680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59986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DC9F347C-CCD9-40E4-966F-860E5A83B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19</xdr:row>
      <xdr:rowOff>342900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61E5837C-8F00-4D40-AE0A-C7F77C76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603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BB4E3E20-2738-4134-801F-515A8D34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105EA25E-0C57-4712-B01D-F9983E02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>
    <xdr:from>
      <xdr:col>2</xdr:col>
      <xdr:colOff>335280</xdr:colOff>
      <xdr:row>1</xdr:row>
      <xdr:rowOff>53340</xdr:rowOff>
    </xdr:from>
    <xdr:to>
      <xdr:col>21</xdr:col>
      <xdr:colOff>464820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28D1262-0F69-4EB2-9C92-86E3AC4B0986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65315D4-81A2-4167-BD39-557737DF8B68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33681</xdr:colOff>
      <xdr:row>19</xdr:row>
      <xdr:rowOff>561130</xdr:rowOff>
    </xdr:from>
    <xdr:to>
      <xdr:col>1</xdr:col>
      <xdr:colOff>1264920</xdr:colOff>
      <xdr:row>22</xdr:row>
      <xdr:rowOff>42970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BE820E0-D261-45B2-85DB-76702E170E3D}"/>
            </a:ext>
          </a:extLst>
        </xdr:cNvPr>
        <xdr:cNvSpPr/>
      </xdr:nvSpPr>
      <xdr:spPr>
        <a:xfrm>
          <a:off x="231801" y="4035850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2CDB52C0-5A20-4B0C-A6E5-5E4E08FF2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68DCB56F-F6DD-4860-8F0F-4BAE8190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82912D-403D-4275-A8FB-86F01F0A1A5B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8</xdr:row>
      <xdr:rowOff>15240</xdr:rowOff>
    </xdr:from>
    <xdr:to>
      <xdr:col>1</xdr:col>
      <xdr:colOff>1237641</xdr:colOff>
      <xdr:row>10</xdr:row>
      <xdr:rowOff>68580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4A093F-78FB-4745-811E-4A351F875D67}"/>
            </a:ext>
          </a:extLst>
        </xdr:cNvPr>
        <xdr:cNvSpPr/>
      </xdr:nvSpPr>
      <xdr:spPr>
        <a:xfrm>
          <a:off x="231801" y="1478280"/>
          <a:ext cx="120396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B34444-FF38-4A8C-8F5F-257109B49754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13</xdr:row>
      <xdr:rowOff>53764</xdr:rowOff>
    </xdr:from>
    <xdr:to>
      <xdr:col>1</xdr:col>
      <xdr:colOff>1519820</xdr:colOff>
      <xdr:row>15</xdr:row>
      <xdr:rowOff>107104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50AD3A-182A-4050-B18E-0AF88B485D5C}"/>
            </a:ext>
          </a:extLst>
        </xdr:cNvPr>
        <xdr:cNvSpPr/>
      </xdr:nvSpPr>
      <xdr:spPr>
        <a:xfrm>
          <a:off x="231801" y="2431204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41301</xdr:colOff>
      <xdr:row>15</xdr:row>
      <xdr:rowOff>57786</xdr:rowOff>
    </xdr:from>
    <xdr:to>
      <xdr:col>1</xdr:col>
      <xdr:colOff>1527440</xdr:colOff>
      <xdr:row>17</xdr:row>
      <xdr:rowOff>111126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CEE275-B8AE-4CAF-8DE7-F98594C45DC2}"/>
            </a:ext>
          </a:extLst>
        </xdr:cNvPr>
        <xdr:cNvSpPr/>
      </xdr:nvSpPr>
      <xdr:spPr>
        <a:xfrm>
          <a:off x="239421" y="3166746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480908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4AAF2B-AD39-4935-9431-E7E262113910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/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/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100330</xdr:rowOff>
    </xdr:from>
    <xdr:to>
      <xdr:col>1</xdr:col>
      <xdr:colOff>1553492</xdr:colOff>
      <xdr:row>24</xdr:row>
      <xdr:rowOff>153670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FEB056-D35E-49B8-B68D-5B20D21E8C5C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04EEE4-808B-4FBA-8CD0-130B4665AD81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10</xdr:row>
      <xdr:rowOff>18559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18AF1C59-4055-4C8D-AAD1-C85ECF5DB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109268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1DD6918F-9059-4327-848F-479403774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17097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D41BFB5C-BA01-4C76-B776-EB370B6DE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15</xdr:row>
      <xdr:rowOff>168226</xdr:rowOff>
    </xdr:from>
    <xdr:to>
      <xdr:col>1</xdr:col>
      <xdr:colOff>341340</xdr:colOff>
      <xdr:row>17</xdr:row>
      <xdr:rowOff>90466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D86C0442-E9BC-4240-AA40-44CB3968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51460" y="327718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19</xdr:row>
      <xdr:rowOff>342900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423A7E7D-6F34-4373-BD78-D4130460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603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1DB6B4CA-024C-4284-9061-AAAFD087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B663E46D-6A91-45DF-8583-CFA5D85EF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2</xdr:col>
      <xdr:colOff>335280</xdr:colOff>
      <xdr:row>1</xdr:row>
      <xdr:rowOff>53340</xdr:rowOff>
    </xdr:from>
    <xdr:to>
      <xdr:col>21</xdr:col>
      <xdr:colOff>464820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6600112-BC69-4303-84B3-D12125C577C2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B42CFDD-7D11-4B78-814B-07728AEF124C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New</a:t>
          </a:r>
          <a:r>
            <a:rPr lang="en-IN" sz="3200" b="1" baseline="0">
              <a:solidFill>
                <a:schemeClr val="tx1"/>
              </a:solidFill>
              <a:latin typeface="Antonio SemiBold" pitchFamily="2" charset="0"/>
            </a:rPr>
            <a:t> Entry Purchase</a:t>
          </a:r>
          <a:endParaRPr lang="en-IN" sz="3200" b="1">
            <a:solidFill>
              <a:schemeClr val="tx1"/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19</xdr:row>
      <xdr:rowOff>561130</xdr:rowOff>
    </xdr:from>
    <xdr:to>
      <xdr:col>1</xdr:col>
      <xdr:colOff>1264920</xdr:colOff>
      <xdr:row>22</xdr:row>
      <xdr:rowOff>42970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41C7858-6D1B-4383-94A8-67AE3B80C3E8}"/>
            </a:ext>
          </a:extLst>
        </xdr:cNvPr>
        <xdr:cNvSpPr/>
      </xdr:nvSpPr>
      <xdr:spPr>
        <a:xfrm>
          <a:off x="231801" y="4035850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88AF9D7F-FB1C-4265-9FAF-2F6D8052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</xdr:row>
      <xdr:rowOff>0</xdr:rowOff>
    </xdr:from>
    <xdr:to>
      <xdr:col>4</xdr:col>
      <xdr:colOff>457200</xdr:colOff>
      <xdr:row>11</xdr:row>
      <xdr:rowOff>53340</xdr:rowOff>
    </xdr:to>
    <xdr:pic>
      <xdr:nvPicPr>
        <xdr:cNvPr id="23" name="Graphic 22" descr="Arrow: Slight curve with solid fill">
          <a:extLst>
            <a:ext uri="{FF2B5EF4-FFF2-40B4-BE49-F238E27FC236}">
              <a16:creationId xmlns:a16="http://schemas.microsoft.com/office/drawing/2014/main" id="{BC5F96B0-9E66-E11C-D436-19CB4B35D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2827020" y="18288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13</xdr:row>
      <xdr:rowOff>7620</xdr:rowOff>
    </xdr:from>
    <xdr:to>
      <xdr:col>4</xdr:col>
      <xdr:colOff>457200</xdr:colOff>
      <xdr:row>14</xdr:row>
      <xdr:rowOff>60960</xdr:rowOff>
    </xdr:to>
    <xdr:pic>
      <xdr:nvPicPr>
        <xdr:cNvPr id="24" name="Graphic 23" descr="Arrow: Slight curve with solid fill">
          <a:extLst>
            <a:ext uri="{FF2B5EF4-FFF2-40B4-BE49-F238E27FC236}">
              <a16:creationId xmlns:a16="http://schemas.microsoft.com/office/drawing/2014/main" id="{F9832E5F-973B-F79F-C77E-045A90EC1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2827020" y="2567940"/>
          <a:ext cx="419100" cy="419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2216DF31-6723-4957-97B3-D04EED3B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E68F7C-5E5D-47F0-97E7-A48C78A995CC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8</xdr:row>
      <xdr:rowOff>15240</xdr:rowOff>
    </xdr:from>
    <xdr:to>
      <xdr:col>1</xdr:col>
      <xdr:colOff>1237641</xdr:colOff>
      <xdr:row>10</xdr:row>
      <xdr:rowOff>68580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AF8103-DF86-43D4-A10C-11D4C44E0472}"/>
            </a:ext>
          </a:extLst>
        </xdr:cNvPr>
        <xdr:cNvSpPr/>
      </xdr:nvSpPr>
      <xdr:spPr>
        <a:xfrm>
          <a:off x="231801" y="1478280"/>
          <a:ext cx="120396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BD5F2A-BCAC-4F8B-8819-10AC985C2457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13</xdr:row>
      <xdr:rowOff>53764</xdr:rowOff>
    </xdr:from>
    <xdr:to>
      <xdr:col>1</xdr:col>
      <xdr:colOff>1519820</xdr:colOff>
      <xdr:row>15</xdr:row>
      <xdr:rowOff>107104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19AD1F-CF14-48B0-A863-7EF1A4B80D89}"/>
            </a:ext>
          </a:extLst>
        </xdr:cNvPr>
        <xdr:cNvSpPr/>
      </xdr:nvSpPr>
      <xdr:spPr>
        <a:xfrm>
          <a:off x="231801" y="2431204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15</xdr:row>
      <xdr:rowOff>164466</xdr:rowOff>
    </xdr:from>
    <xdr:to>
      <xdr:col>1</xdr:col>
      <xdr:colOff>1519820</xdr:colOff>
      <xdr:row>18</xdr:row>
      <xdr:rowOff>34926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ACC4C0-6DB7-4AD5-83CA-3543855E7F8F}"/>
            </a:ext>
          </a:extLst>
        </xdr:cNvPr>
        <xdr:cNvSpPr/>
      </xdr:nvSpPr>
      <xdr:spPr>
        <a:xfrm>
          <a:off x="231801" y="2907666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78849FF-63B4-4FB9-A764-E4BED364ECB8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21</xdr:row>
      <xdr:rowOff>100330</xdr:rowOff>
    </xdr:from>
    <xdr:to>
      <xdr:col>1</xdr:col>
      <xdr:colOff>1553492</xdr:colOff>
      <xdr:row>23</xdr:row>
      <xdr:rowOff>153670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86392B9-C06B-4229-AE13-CEC8ECF54AE0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23</xdr:row>
      <xdr:rowOff>144780</xdr:rowOff>
    </xdr:from>
    <xdr:to>
      <xdr:col>1</xdr:col>
      <xdr:colOff>1562339</xdr:colOff>
      <xdr:row>26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007AB9-5533-4031-9F0E-AD7CB30ED063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10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25DCA122-C402-493D-9186-1B8D1105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A70E3A9C-3C19-470C-AB36-706942BD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52F3DC8C-EAD6-47E8-B5C9-68097CE77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59986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7B97E411-326C-4EA2-AD25-6A5568F5C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18</xdr:row>
      <xdr:rowOff>43475</xdr:rowOff>
    </xdr:from>
    <xdr:to>
      <xdr:col>1</xdr:col>
      <xdr:colOff>356580</xdr:colOff>
      <xdr:row>19</xdr:row>
      <xdr:rowOff>99060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EC48571F-F87E-4A99-BE6A-73C1376B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66700" y="3906815"/>
          <a:ext cx="288000" cy="3222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21</xdr:row>
      <xdr:rowOff>168913</xdr:rowOff>
    </xdr:from>
    <xdr:to>
      <xdr:col>1</xdr:col>
      <xdr:colOff>388620</xdr:colOff>
      <xdr:row>23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E5409769-0198-4748-8D76-4A64E1C48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24</xdr:row>
      <xdr:rowOff>45720</xdr:rowOff>
    </xdr:from>
    <xdr:to>
      <xdr:col>1</xdr:col>
      <xdr:colOff>335280</xdr:colOff>
      <xdr:row>25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6D5CB0A0-719D-4E61-B4E4-CFC4D25B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>
    <xdr:from>
      <xdr:col>2</xdr:col>
      <xdr:colOff>335280</xdr:colOff>
      <xdr:row>1</xdr:row>
      <xdr:rowOff>53340</xdr:rowOff>
    </xdr:from>
    <xdr:to>
      <xdr:col>14</xdr:col>
      <xdr:colOff>464820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F5F6101-77ED-48BC-BE96-7BDB898709C9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5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589B972-024A-46F8-B080-2D1354B89F53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>
    <xdr:from>
      <xdr:col>1</xdr:col>
      <xdr:colOff>26061</xdr:colOff>
      <xdr:row>19</xdr:row>
      <xdr:rowOff>106680</xdr:rowOff>
    </xdr:from>
    <xdr:to>
      <xdr:col>1</xdr:col>
      <xdr:colOff>1257300</xdr:colOff>
      <xdr:row>21</xdr:row>
      <xdr:rowOff>149650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5874F2D-FFEF-4EE2-A84E-5AA52B96A152}"/>
            </a:ext>
          </a:extLst>
        </xdr:cNvPr>
        <xdr:cNvSpPr/>
      </xdr:nvSpPr>
      <xdr:spPr>
        <a:xfrm>
          <a:off x="224181" y="4236720"/>
          <a:ext cx="1231239" cy="6754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2544</xdr:rowOff>
    </xdr:from>
    <xdr:to>
      <xdr:col>1</xdr:col>
      <xdr:colOff>381000</xdr:colOff>
      <xdr:row>21</xdr:row>
      <xdr:rowOff>2544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B9610E02-174F-45D8-BD1A-B6D96A06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445004"/>
          <a:ext cx="320040" cy="3200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38E78FF4-541A-4D96-9BB8-4CDC0267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CA5CA5F-4943-4467-BC1C-DD078A64117D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33681</xdr:colOff>
      <xdr:row>8</xdr:row>
      <xdr:rowOff>15240</xdr:rowOff>
    </xdr:from>
    <xdr:to>
      <xdr:col>1</xdr:col>
      <xdr:colOff>1237641</xdr:colOff>
      <xdr:row>10</xdr:row>
      <xdr:rowOff>68580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D4586D-6DC9-45C9-B0B3-BA93B9AB2BBB}"/>
            </a:ext>
          </a:extLst>
        </xdr:cNvPr>
        <xdr:cNvSpPr/>
      </xdr:nvSpPr>
      <xdr:spPr>
        <a:xfrm>
          <a:off x="231801" y="1478280"/>
          <a:ext cx="120396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A9F8AB-4DDF-4236-A6ED-7CBC6D4EC432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12</xdr:row>
      <xdr:rowOff>213784</xdr:rowOff>
    </xdr:from>
    <xdr:to>
      <xdr:col>1</xdr:col>
      <xdr:colOff>1519820</xdr:colOff>
      <xdr:row>15</xdr:row>
      <xdr:rowOff>424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E08603-A9E7-4C98-99EC-4B5C2F24D077}"/>
            </a:ext>
          </a:extLst>
        </xdr:cNvPr>
        <xdr:cNvSpPr/>
      </xdr:nvSpPr>
      <xdr:spPr>
        <a:xfrm>
          <a:off x="231801" y="2827444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18441</xdr:colOff>
      <xdr:row>15</xdr:row>
      <xdr:rowOff>4446</xdr:rowOff>
    </xdr:from>
    <xdr:to>
      <xdr:col>1</xdr:col>
      <xdr:colOff>1504580</xdr:colOff>
      <xdr:row>17</xdr:row>
      <xdr:rowOff>57786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97C177-B207-46BB-A74B-E35945E62FA2}"/>
            </a:ext>
          </a:extLst>
        </xdr:cNvPr>
        <xdr:cNvSpPr/>
      </xdr:nvSpPr>
      <xdr:spPr>
        <a:xfrm>
          <a:off x="216561" y="3418206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480908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D16D8A-191E-4189-BE77-656845E8D7DE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100330</xdr:rowOff>
    </xdr:from>
    <xdr:to>
      <xdr:col>1</xdr:col>
      <xdr:colOff>1553492</xdr:colOff>
      <xdr:row>24</xdr:row>
      <xdr:rowOff>153670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ED98CF4-169B-42F6-92F1-0F905F21B77B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B20124-C362-4B92-B0F4-DDA5F236B998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9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8F742397-9A40-47CB-948D-7497ECC8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6B1D7351-0EB1-4DAE-B790-EB363BA7E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9EA77C6D-32BE-4350-8CB6-5A4A4B8B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15</xdr:row>
      <xdr:rowOff>99646</xdr:rowOff>
    </xdr:from>
    <xdr:to>
      <xdr:col>1</xdr:col>
      <xdr:colOff>333720</xdr:colOff>
      <xdr:row>17</xdr:row>
      <xdr:rowOff>21886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F1D91BE3-5C58-4361-8C61-41353323F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351340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20</xdr:row>
      <xdr:rowOff>45720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8089F956-9355-4BF9-835F-828B217F5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4514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FD722BF6-CBCD-448C-9A01-010A2C34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5F051DD9-ABB7-4E32-8D98-59F42A05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53340</xdr:rowOff>
    </xdr:from>
    <xdr:to>
      <xdr:col>19</xdr:col>
      <xdr:colOff>579120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49BBBD1-E4A3-43F2-B383-4B53212F7D17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13AE102-6BA4-4DEC-B018-23ADF633DA2C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33681</xdr:colOff>
      <xdr:row>19</xdr:row>
      <xdr:rowOff>561130</xdr:rowOff>
    </xdr:from>
    <xdr:to>
      <xdr:col>1</xdr:col>
      <xdr:colOff>1264920</xdr:colOff>
      <xdr:row>22</xdr:row>
      <xdr:rowOff>42970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E8D3F4A-D42E-4311-B146-C446A059B6AA}"/>
            </a:ext>
          </a:extLst>
        </xdr:cNvPr>
        <xdr:cNvSpPr/>
      </xdr:nvSpPr>
      <xdr:spPr>
        <a:xfrm>
          <a:off x="231801" y="4035850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5680E939-5297-4D7B-B408-37094E161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22860</xdr:rowOff>
    </xdr:from>
    <xdr:to>
      <xdr:col>1</xdr:col>
      <xdr:colOff>1120140</xdr:colOff>
      <xdr:row>3</xdr:row>
      <xdr:rowOff>152400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A156089A-6C68-4877-A317-4F915DC6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9140" y="205740"/>
          <a:ext cx="579120" cy="4953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3</xdr:row>
      <xdr:rowOff>15240</xdr:rowOff>
    </xdr:from>
    <xdr:to>
      <xdr:col>1</xdr:col>
      <xdr:colOff>1630680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4202C0C-4865-462F-8393-236D361FDA94}"/>
            </a:ext>
          </a:extLst>
        </xdr:cNvPr>
        <xdr:cNvSpPr/>
      </xdr:nvSpPr>
      <xdr:spPr>
        <a:xfrm>
          <a:off x="220980" y="563880"/>
          <a:ext cx="1607820" cy="754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41301</xdr:colOff>
      <xdr:row>7</xdr:row>
      <xdr:rowOff>198120</xdr:rowOff>
    </xdr:from>
    <xdr:to>
      <xdr:col>1</xdr:col>
      <xdr:colOff>1245261</xdr:colOff>
      <xdr:row>9</xdr:row>
      <xdr:rowOff>251460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2A0D9E-4D83-48ED-9B56-25DDDFCF4C87}"/>
            </a:ext>
          </a:extLst>
        </xdr:cNvPr>
        <xdr:cNvSpPr/>
      </xdr:nvSpPr>
      <xdr:spPr>
        <a:xfrm>
          <a:off x="239421" y="1478280"/>
          <a:ext cx="120396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Dashboard</a:t>
          </a:r>
        </a:p>
      </xdr:txBody>
    </xdr:sp>
    <xdr:clientData/>
  </xdr:twoCellAnchor>
  <xdr:twoCellAnchor>
    <xdr:from>
      <xdr:col>1</xdr:col>
      <xdr:colOff>33681</xdr:colOff>
      <xdr:row>10</xdr:row>
      <xdr:rowOff>125942</xdr:rowOff>
    </xdr:from>
    <xdr:to>
      <xdr:col>1</xdr:col>
      <xdr:colOff>1519820</xdr:colOff>
      <xdr:row>12</xdr:row>
      <xdr:rowOff>179282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676425-BCD1-42D9-95CC-A57510EEA9B0}"/>
            </a:ext>
          </a:extLst>
        </xdr:cNvPr>
        <xdr:cNvSpPr/>
      </xdr:nvSpPr>
      <xdr:spPr>
        <a:xfrm>
          <a:off x="231801" y="1954742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Customer</a:t>
          </a:r>
        </a:p>
      </xdr:txBody>
    </xdr:sp>
    <xdr:clientData/>
  </xdr:twoCellAnchor>
  <xdr:twoCellAnchor>
    <xdr:from>
      <xdr:col>1</xdr:col>
      <xdr:colOff>33681</xdr:colOff>
      <xdr:row>12</xdr:row>
      <xdr:rowOff>229024</xdr:rowOff>
    </xdr:from>
    <xdr:to>
      <xdr:col>1</xdr:col>
      <xdr:colOff>1519820</xdr:colOff>
      <xdr:row>15</xdr:row>
      <xdr:rowOff>15664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4522D9-B471-46A8-BC49-A499A8330C6D}"/>
            </a:ext>
          </a:extLst>
        </xdr:cNvPr>
        <xdr:cNvSpPr/>
      </xdr:nvSpPr>
      <xdr:spPr>
        <a:xfrm>
          <a:off x="231801" y="2842684"/>
          <a:ext cx="1486139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Products</a:t>
          </a:r>
        </a:p>
      </xdr:txBody>
    </xdr:sp>
    <xdr:clientData/>
  </xdr:twoCellAnchor>
  <xdr:twoCellAnchor>
    <xdr:from>
      <xdr:col>1</xdr:col>
      <xdr:colOff>33681</xdr:colOff>
      <xdr:row>15</xdr:row>
      <xdr:rowOff>164466</xdr:rowOff>
    </xdr:from>
    <xdr:to>
      <xdr:col>1</xdr:col>
      <xdr:colOff>1519820</xdr:colOff>
      <xdr:row>18</xdr:row>
      <xdr:rowOff>34926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C9A380-49AB-4FDD-B18E-71A7DE7AC53D}"/>
            </a:ext>
          </a:extLst>
        </xdr:cNvPr>
        <xdr:cNvSpPr/>
      </xdr:nvSpPr>
      <xdr:spPr>
        <a:xfrm>
          <a:off x="231801" y="2907666"/>
          <a:ext cx="14861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Vendors</a:t>
          </a:r>
        </a:p>
      </xdr:txBody>
    </xdr:sp>
    <xdr:clientData/>
  </xdr:twoCellAnchor>
  <xdr:twoCellAnchor>
    <xdr:from>
      <xdr:col>1</xdr:col>
      <xdr:colOff>186081</xdr:colOff>
      <xdr:row>18</xdr:row>
      <xdr:rowOff>69428</xdr:rowOff>
    </xdr:from>
    <xdr:to>
      <xdr:col>1</xdr:col>
      <xdr:colOff>1451001</xdr:colOff>
      <xdr:row>19</xdr:row>
      <xdr:rowOff>480908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17E843-88D5-43A6-8B46-E26AEC696D82}"/>
            </a:ext>
          </a:extLst>
        </xdr:cNvPr>
        <xdr:cNvSpPr/>
      </xdr:nvSpPr>
      <xdr:spPr>
        <a:xfrm>
          <a:off x="384201" y="3361268"/>
          <a:ext cx="12649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New</a:t>
          </a:r>
          <a:r>
            <a:rPr lang="en-IN" sz="1400" b="1" baseline="0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 Entry Purchase</a:t>
          </a:r>
          <a:endParaRPr lang="en-IN" sz="1400" b="1">
            <a:solidFill>
              <a:schemeClr val="tx1">
                <a:lumMod val="50000"/>
                <a:lumOff val="50000"/>
              </a:schemeClr>
            </a:solidFill>
            <a:latin typeface="Antonio SemiBold" pitchFamily="2" charset="0"/>
          </a:endParaRPr>
        </a:p>
      </xdr:txBody>
    </xdr:sp>
    <xdr:clientData/>
  </xdr:twoCellAnchor>
  <xdr:twoCellAnchor>
    <xdr:from>
      <xdr:col>1</xdr:col>
      <xdr:colOff>33681</xdr:colOff>
      <xdr:row>22</xdr:row>
      <xdr:rowOff>100330</xdr:rowOff>
    </xdr:from>
    <xdr:to>
      <xdr:col>1</xdr:col>
      <xdr:colOff>1553492</xdr:colOff>
      <xdr:row>24</xdr:row>
      <xdr:rowOff>153670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C11324-225E-49EC-B88B-FEECD4F41AD7}"/>
            </a:ext>
          </a:extLst>
        </xdr:cNvPr>
        <xdr:cNvSpPr/>
      </xdr:nvSpPr>
      <xdr:spPr>
        <a:xfrm>
          <a:off x="231801" y="451231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Sales</a:t>
          </a:r>
        </a:p>
      </xdr:txBody>
    </xdr:sp>
    <xdr:clientData/>
  </xdr:twoCellAnchor>
  <xdr:twoCellAnchor>
    <xdr:from>
      <xdr:col>1</xdr:col>
      <xdr:colOff>42528</xdr:colOff>
      <xdr:row>24</xdr:row>
      <xdr:rowOff>144780</xdr:rowOff>
    </xdr:from>
    <xdr:to>
      <xdr:col>1</xdr:col>
      <xdr:colOff>1562339</xdr:colOff>
      <xdr:row>27</xdr:row>
      <xdr:rowOff>15240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C64F05-4D71-4506-9FC3-5F59BC6807F6}"/>
            </a:ext>
          </a:extLst>
        </xdr:cNvPr>
        <xdr:cNvSpPr/>
      </xdr:nvSpPr>
      <xdr:spPr>
        <a:xfrm>
          <a:off x="240648" y="4922520"/>
          <a:ext cx="151981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 editAs="oneCell">
    <xdr:from>
      <xdr:col>1</xdr:col>
      <xdr:colOff>45720</xdr:colOff>
      <xdr:row>8</xdr:row>
      <xdr:rowOff>121920</xdr:rowOff>
    </xdr:from>
    <xdr:to>
      <xdr:col>1</xdr:col>
      <xdr:colOff>333720</xdr:colOff>
      <xdr:row>9</xdr:row>
      <xdr:rowOff>117619</xdr:rowOff>
    </xdr:to>
    <xdr:pic>
      <xdr:nvPicPr>
        <xdr:cNvPr id="11" name="Graphic 10" descr="Presentation with bar chart with solid fill">
          <a:extLst>
            <a:ext uri="{FF2B5EF4-FFF2-40B4-BE49-F238E27FC236}">
              <a16:creationId xmlns:a16="http://schemas.microsoft.com/office/drawing/2014/main" id="{6B87CF1B-E1E9-4D61-B410-7783D8D3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3840" y="1584960"/>
          <a:ext cx="288000" cy="262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</xdr:row>
      <xdr:rowOff>40148</xdr:rowOff>
    </xdr:from>
    <xdr:to>
      <xdr:col>1</xdr:col>
      <xdr:colOff>297720</xdr:colOff>
      <xdr:row>12</xdr:row>
      <xdr:rowOff>25448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C93184BB-FD8D-4E62-B1ED-5D9F5C9C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40" y="2051828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130857</xdr:rowOff>
    </xdr:from>
    <xdr:to>
      <xdr:col>1</xdr:col>
      <xdr:colOff>297720</xdr:colOff>
      <xdr:row>14</xdr:row>
      <xdr:rowOff>116157</xdr:rowOff>
    </xdr:to>
    <xdr:pic>
      <xdr:nvPicPr>
        <xdr:cNvPr id="13" name="Graphic 12" descr="Shopping cart with solid fill">
          <a:extLst>
            <a:ext uri="{FF2B5EF4-FFF2-40B4-BE49-F238E27FC236}">
              <a16:creationId xmlns:a16="http://schemas.microsoft.com/office/drawing/2014/main" id="{CD38FC93-7008-466D-8EC7-B6BD91097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3840" y="250829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16</xdr:row>
      <xdr:rowOff>38686</xdr:rowOff>
    </xdr:from>
    <xdr:to>
      <xdr:col>1</xdr:col>
      <xdr:colOff>333720</xdr:colOff>
      <xdr:row>17</xdr:row>
      <xdr:rowOff>59986</xdr:rowOff>
    </xdr:to>
    <xdr:pic>
      <xdr:nvPicPr>
        <xdr:cNvPr id="14" name="Graphic 13" descr="Handshake with solid fill">
          <a:extLst>
            <a:ext uri="{FF2B5EF4-FFF2-40B4-BE49-F238E27FC236}">
              <a16:creationId xmlns:a16="http://schemas.microsoft.com/office/drawing/2014/main" id="{CE9CD44D-4529-4A9C-81B1-2DFC51D4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43840" y="2964766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165395</xdr:rowOff>
    </xdr:from>
    <xdr:to>
      <xdr:col>1</xdr:col>
      <xdr:colOff>333720</xdr:colOff>
      <xdr:row>19</xdr:row>
      <xdr:rowOff>327660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46CE35B9-90DB-4AFA-9EE5-3C4853E6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3840" y="3457235"/>
          <a:ext cx="288000" cy="34514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22</xdr:row>
      <xdr:rowOff>168913</xdr:rowOff>
    </xdr:from>
    <xdr:to>
      <xdr:col>1</xdr:col>
      <xdr:colOff>388620</xdr:colOff>
      <xdr:row>24</xdr:row>
      <xdr:rowOff>130813</xdr:rowOff>
    </xdr:to>
    <xdr:pic>
      <xdr:nvPicPr>
        <xdr:cNvPr id="16" name="Graphic 15" descr="Business Growth with solid fill">
          <a:extLst>
            <a:ext uri="{FF2B5EF4-FFF2-40B4-BE49-F238E27FC236}">
              <a16:creationId xmlns:a16="http://schemas.microsoft.com/office/drawing/2014/main" id="{B58EDD88-FBCC-4C54-84D3-C8555538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9080" y="4580893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25</xdr:row>
      <xdr:rowOff>45720</xdr:rowOff>
    </xdr:from>
    <xdr:to>
      <xdr:col>1</xdr:col>
      <xdr:colOff>335280</xdr:colOff>
      <xdr:row>26</xdr:row>
      <xdr:rowOff>152400</xdr:rowOff>
    </xdr:to>
    <xdr:pic>
      <xdr:nvPicPr>
        <xdr:cNvPr id="17" name="Graphic 16" descr="Closed book with solid fill">
          <a:extLst>
            <a:ext uri="{FF2B5EF4-FFF2-40B4-BE49-F238E27FC236}">
              <a16:creationId xmlns:a16="http://schemas.microsoft.com/office/drawing/2014/main" id="{4AE4C916-6E05-4227-8AE8-8E9FB4825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243840" y="5006340"/>
          <a:ext cx="289560" cy="2895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53340</xdr:rowOff>
    </xdr:from>
    <xdr:to>
      <xdr:col>10</xdr:col>
      <xdr:colOff>1196340</xdr:colOff>
      <xdr:row>5</xdr:row>
      <xdr:rowOff>106680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7571034-A618-4FB2-94A4-5A28D49E1EEE}"/>
            </a:ext>
          </a:extLst>
        </xdr:cNvPr>
        <xdr:cNvSpPr/>
      </xdr:nvSpPr>
      <xdr:spPr>
        <a:xfrm>
          <a:off x="2194560" y="236220"/>
          <a:ext cx="11711940" cy="7848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594360</xdr:colOff>
      <xdr:row>1</xdr:row>
      <xdr:rowOff>45720</xdr:rowOff>
    </xdr:from>
    <xdr:to>
      <xdr:col>12</xdr:col>
      <xdr:colOff>266700</xdr:colOff>
      <xdr:row>5</xdr:row>
      <xdr:rowOff>121920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E158873-F00F-4C41-BD62-0371D51E3EB8}"/>
            </a:ext>
          </a:extLst>
        </xdr:cNvPr>
        <xdr:cNvSpPr/>
      </xdr:nvSpPr>
      <xdr:spPr>
        <a:xfrm>
          <a:off x="2453640" y="228600"/>
          <a:ext cx="5768340" cy="807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  <a:latin typeface="Antonio SemiBold" pitchFamily="2" charset="0"/>
            </a:rPr>
            <a:t>Inventory</a:t>
          </a:r>
        </a:p>
      </xdr:txBody>
    </xdr:sp>
    <xdr:clientData/>
  </xdr:twoCellAnchor>
  <xdr:twoCellAnchor>
    <xdr:from>
      <xdr:col>1</xdr:col>
      <xdr:colOff>33681</xdr:colOff>
      <xdr:row>19</xdr:row>
      <xdr:rowOff>561130</xdr:rowOff>
    </xdr:from>
    <xdr:to>
      <xdr:col>1</xdr:col>
      <xdr:colOff>1264920</xdr:colOff>
      <xdr:row>22</xdr:row>
      <xdr:rowOff>42970</xdr:rowOff>
    </xdr:to>
    <xdr:sp macro="" textlink="">
      <xdr:nvSpPr>
        <xdr:cNvPr id="20" name="Rectangle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30758D3-2194-45CC-B3AA-5E3D6F10B205}"/>
            </a:ext>
          </a:extLst>
        </xdr:cNvPr>
        <xdr:cNvSpPr/>
      </xdr:nvSpPr>
      <xdr:spPr>
        <a:xfrm>
          <a:off x="231801" y="4035850"/>
          <a:ext cx="1231239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1400" b="1">
              <a:solidFill>
                <a:schemeClr val="tx1">
                  <a:lumMod val="50000"/>
                  <a:lumOff val="50000"/>
                </a:schemeClr>
              </a:solidFill>
              <a:latin typeface="Antonio SemiBold" pitchFamily="2" charset="0"/>
            </a:rPr>
            <a:t>Purchase</a:t>
          </a:r>
        </a:p>
      </xdr:txBody>
    </xdr:sp>
    <xdr:clientData/>
  </xdr:twoCellAnchor>
  <xdr:twoCellAnchor editAs="oneCell">
    <xdr:from>
      <xdr:col>1</xdr:col>
      <xdr:colOff>60960</xdr:colOff>
      <xdr:row>20</xdr:row>
      <xdr:rowOff>55884</xdr:rowOff>
    </xdr:from>
    <xdr:to>
      <xdr:col>1</xdr:col>
      <xdr:colOff>381000</xdr:colOff>
      <xdr:row>22</xdr:row>
      <xdr:rowOff>10164</xdr:rowOff>
    </xdr:to>
    <xdr:pic>
      <xdr:nvPicPr>
        <xdr:cNvPr id="21" name="Graphic 20" descr="Bar chart with solid fill">
          <a:extLst>
            <a:ext uri="{FF2B5EF4-FFF2-40B4-BE49-F238E27FC236}">
              <a16:creationId xmlns:a16="http://schemas.microsoft.com/office/drawing/2014/main" id="{FDBCD9C0-C8AE-41E1-B40E-75D4B5772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59080" y="4102104"/>
          <a:ext cx="320040" cy="3200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1</xdr:row>
      <xdr:rowOff>64770</xdr:rowOff>
    </xdr:from>
    <xdr:to>
      <xdr:col>13</xdr:col>
      <xdr:colOff>129540</xdr:colOff>
      <xdr:row>10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D6408-5102-1AB8-A592-F18973EF0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198120</xdr:colOff>
      <xdr:row>15</xdr:row>
      <xdr:rowOff>171450</xdr:rowOff>
    </xdr:from>
    <xdr:to>
      <xdr:col>13</xdr:col>
      <xdr:colOff>60960</xdr:colOff>
      <xdr:row>24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E4FF7-E3DC-950B-4655-1BB57F9F1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243840</xdr:colOff>
      <xdr:row>21</xdr:row>
      <xdr:rowOff>41910</xdr:rowOff>
    </xdr:from>
    <xdr:to>
      <xdr:col>9</xdr:col>
      <xdr:colOff>365760</xdr:colOff>
      <xdr:row>36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AF7BA4-5249-5B20-9E97-2873E61A6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95F99FE3F9C1005/Documents/inventory%20management%20software%20by%20deepak%20eduworld.xlsx" TargetMode="External"/><Relationship Id="rId1" Type="http://schemas.openxmlformats.org/officeDocument/2006/relationships/externalLinkPath" Target="https://d.docs.live.net/195F99FE3F9C1005/Documents/inventory%20management%20software%20by%20deepak%20eduwor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heet9"/>
      <sheetName val="Customers"/>
      <sheetName val="Vendors"/>
      <sheetName val="Products"/>
      <sheetName val="New Entry"/>
      <sheetName val="Purchase"/>
      <sheetName val="Sales"/>
      <sheetName val="Inventory"/>
      <sheetName val="inventory management software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 ICT" refreshedDate="45829.949832175924" createdVersion="8" refreshedVersion="8" minRefreshableVersion="3" recordCount="7" xr:uid="{06B245D5-0F92-4E50-9E31-2DE7E35AB55E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 ICT" refreshedDate="45829.949832523147" createdVersion="8" refreshedVersion="8" minRefreshableVersion="3" recordCount="10" xr:uid="{E304454B-E58B-469A-8925-406CE6B3CB40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164">
      <sharedItems containsSemiMixedTypes="0" containsString="0" containsNumber="1" containsInteger="1" minValue="200" maxValue="52000"/>
    </cacheField>
    <cacheField name="Selling Price" numFmtId="164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 ICT" refreshedDate="45829.94983287037" createdVersion="8" refreshedVersion="8" minRefreshableVersion="3" recordCount="11" xr:uid="{A9B4453C-3D23-4058-8493-AFBD44F50EF9}">
  <cacheSource type="worksheet">
    <worksheetSource name="purchase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4">
      <sharedItems containsNonDate="0" containsDate="1" containsString="0" containsBlank="1" minDate="2024-01-01T00:00:00" maxDate="2024-01-11T00:00:00"/>
    </cacheField>
    <cacheField name="Unit" numFmtId="0">
      <sharedItems containsSemiMixedTypes="0" containsDate="1" containsString="0" containsMixedTypes="1" minDate="1900-02-08T00:00:00" maxDate="1899-12-31T01:30:04"/>
    </cacheField>
    <cacheField name="Cost" numFmtId="164">
      <sharedItems containsSemiMixedTypes="0" containsString="0" containsNumber="1" containsInteger="1" minValue="200" maxValue="52000"/>
    </cacheField>
    <cacheField name="Amount" numFmtId="0">
      <sharedItems containsSemiMixedTypes="0" containsString="0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 ICT" refreshedDate="45829.949832986109" createdVersion="8" refreshedVersion="8" minRefreshableVersion="3" recordCount="7" xr:uid="{39F080B2-95F8-4AC7-AE16-24739E3CF585}">
  <cacheSource type="worksheet">
    <worksheetSource name="salesdata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Ram sales"/>
        <s v="Atul Ltd."/>
        <s v="MK Tech."/>
        <s v="99store"/>
        <s v="Rajesh Kumar"/>
        <s v="Amit "/>
        <s v="Jain Tel."/>
      </sharedItems>
    </cacheField>
    <cacheField name="HSN Code" numFmtId="0">
      <sharedItems/>
    </cacheField>
    <cacheField name="Product Name" numFmtId="0">
      <sharedItems/>
    </cacheField>
    <cacheField name="Date" numFmtId="14">
      <sharedItems containsNonDate="0" containsString="0" containsBlank="1"/>
    </cacheField>
    <cacheField name="Stock(Units)" numFmtId="0">
      <sharedItems containsSemiMixedTypes="0" containsString="0" containsNumber="1" containsInteger="1" minValue="1" maxValue="45"/>
    </cacheField>
    <cacheField name="Units" numFmtId="0">
      <sharedItems containsSemiMixedTypes="0" containsString="0" containsNumber="1" containsInteger="1" minValue="17" maxValue="55"/>
    </cacheField>
    <cacheField name="Price" numFmtId="164">
      <sharedItems containsSemiMixedTypes="0" containsString="0" containsNumber="1" containsInteger="1" minValue="240" maxValue="62400"/>
    </cacheField>
    <cacheField name="Amount" numFmtId="164">
      <sharedItems containsSemiMixedTypes="0" containsString="0" containsNumber="1" containsInteger="1" minValue="4560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 ICT" refreshedDate="45829.949833449071" createdVersion="8" refreshedVersion="8" minRefreshableVersion="3" recordCount="10" xr:uid="{DB6CC5C0-C8A6-4A92-8AC1-53F64B2F0569}">
  <cacheSource type="worksheet">
    <worksheetSource name="Table3"/>
  </cacheSource>
  <cacheFields count="8">
    <cacheField name="HSN Code" numFmtId="0">
      <sharedItems/>
    </cacheField>
    <cacheField name="Product Name" numFmtId="0">
      <sharedItems count="10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</sharedItems>
    </cacheField>
    <cacheField name="Cost" numFmtId="0">
      <sharedItems containsSemiMixedTypes="0" containsString="0" containsNumber="1" containsInteger="1" minValue="200" maxValue="52000"/>
    </cacheField>
    <cacheField name="P Units" numFmtId="0">
      <sharedItems containsSemiMixedTypes="0" containsString="0" containsNumber="1" containsInteger="1" minValue="20" maxValue="100"/>
    </cacheField>
    <cacheField name="S Units" numFmtId="0">
      <sharedItems containsSemiMixedTypes="0" containsString="0" containsNumber="1" containsInteger="1" minValue="0" maxValue="55"/>
    </cacheField>
    <cacheField name="Stock" numFmtId="0">
      <sharedItems containsSemiMixedTypes="0" containsString="0" containsNumber="1" containsInteger="1" minValue="1" maxValue="55"/>
    </cacheField>
    <cacheField name="Stock Amount" numFmtId="0">
      <sharedItems containsSemiMixedTypes="0" containsString="0" containsNumber="1" containsInteger="1" minValue="200" maxValue="945000"/>
    </cacheField>
    <cacheField name="Not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N1001"/>
    <s v="Smart Watch"/>
    <s v="Tech99"/>
    <m/>
    <d v="1900-02-08T00:00:00"/>
    <n v="980"/>
    <n v="39200"/>
  </r>
  <r>
    <s v="N1001"/>
    <s v="Smart Watch"/>
    <s v="Tech99"/>
    <d v="2024-01-01T00:00:00"/>
    <n v="40"/>
    <n v="980"/>
    <n v="39200"/>
  </r>
  <r>
    <s v="N1002"/>
    <s v="Laptop HP xyz i5"/>
    <s v="Tech99"/>
    <d v="2024-01-02T00:00:00"/>
    <n v="30"/>
    <n v="34500"/>
    <n v="1035000"/>
  </r>
  <r>
    <s v="N1003"/>
    <s v="Wireless Printer"/>
    <s v="Tech99"/>
    <d v="2024-01-03T00:00:00"/>
    <n v="40"/>
    <n v="4600"/>
    <n v="184000"/>
  </r>
  <r>
    <s v="N1004"/>
    <s v="Desktop"/>
    <s v="GG Traders"/>
    <d v="2024-01-04T00:00:00"/>
    <n v="100"/>
    <n v="21000"/>
    <n v="2100000"/>
  </r>
  <r>
    <s v="N1005"/>
    <s v="Mouse"/>
    <s v="GG Traders"/>
    <d v="2024-01-05T00:00:00"/>
    <n v="20"/>
    <n v="200"/>
    <n v="4000"/>
  </r>
  <r>
    <s v="N1006"/>
    <s v="Rgb Keyboard"/>
    <s v="GG Traders"/>
    <d v="2024-01-06T00:00:00"/>
    <n v="50"/>
    <n v="340"/>
    <n v="17000"/>
  </r>
  <r>
    <s v="N1007"/>
    <s v="Camera"/>
    <s v="GG Traders"/>
    <d v="2024-01-07T00:00:00"/>
    <n v="20"/>
    <n v="52000"/>
    <n v="1040000"/>
  </r>
  <r>
    <s v="N1008"/>
    <s v="Headphones"/>
    <s v="Compac"/>
    <d v="2024-01-08T00:00:00"/>
    <n v="35"/>
    <n v="799"/>
    <n v="27965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x v="0"/>
    <s v="N1001"/>
    <s v="Smart Watch"/>
    <m/>
    <n v="13"/>
    <n v="27"/>
    <n v="1176"/>
    <n v="31752"/>
  </r>
  <r>
    <n v="101"/>
    <x v="1"/>
    <s v="N1002"/>
    <s v="Laptop HP xyz i5"/>
    <m/>
    <n v="1"/>
    <n v="29"/>
    <n v="41400"/>
    <n v="1200600"/>
  </r>
  <r>
    <n v="102"/>
    <x v="2"/>
    <s v="N1003"/>
    <s v="Wireless Printer"/>
    <m/>
    <n v="2"/>
    <n v="38"/>
    <n v="5520"/>
    <n v="209760"/>
  </r>
  <r>
    <n v="103"/>
    <x v="3"/>
    <s v="N1004"/>
    <s v="Desktop"/>
    <m/>
    <n v="45"/>
    <n v="55"/>
    <n v="25200"/>
    <n v="1386000"/>
  </r>
  <r>
    <n v="104"/>
    <x v="4"/>
    <s v="N1005"/>
    <s v="Mouse"/>
    <m/>
    <n v="1"/>
    <n v="19"/>
    <n v="240"/>
    <n v="4560"/>
  </r>
  <r>
    <n v="105"/>
    <x v="5"/>
    <s v="N1006"/>
    <s v="Rgb Keyboard"/>
    <m/>
    <n v="17"/>
    <n v="33"/>
    <n v="408"/>
    <n v="13464"/>
  </r>
  <r>
    <n v="106"/>
    <x v="6"/>
    <s v="N1007"/>
    <s v="Camera"/>
    <m/>
    <n v="3"/>
    <n v="17"/>
    <n v="62400"/>
    <n v="10608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x v="0"/>
    <n v="980"/>
    <n v="40"/>
    <n v="27"/>
    <n v="13"/>
    <n v="12740"/>
    <s v=""/>
  </r>
  <r>
    <s v="N1002"/>
    <x v="1"/>
    <n v="34500"/>
    <n v="30"/>
    <n v="29"/>
    <n v="1"/>
    <n v="34500"/>
    <s v=""/>
  </r>
  <r>
    <s v="N1003"/>
    <x v="2"/>
    <n v="4600"/>
    <n v="40"/>
    <n v="38"/>
    <n v="2"/>
    <n v="9200"/>
    <s v="📞 Smart Watch Needs to re-order ! PH 9812xxxxxx"/>
  </r>
  <r>
    <s v="N1004"/>
    <x v="3"/>
    <n v="21000"/>
    <n v="100"/>
    <n v="55"/>
    <n v="45"/>
    <n v="945000"/>
    <s v="📞 Laptop HP xyz i5 Needs to re-order ! PH 9813xxxxxx"/>
  </r>
  <r>
    <s v="N1005"/>
    <x v="4"/>
    <n v="200"/>
    <n v="20"/>
    <n v="19"/>
    <n v="1"/>
    <n v="200"/>
    <s v=""/>
  </r>
  <r>
    <s v="N1006"/>
    <x v="5"/>
    <n v="340"/>
    <n v="50"/>
    <n v="33"/>
    <n v="17"/>
    <n v="5780"/>
    <s v="📞 Desktop Needs to re-order ! PH 9813xxxxxx"/>
  </r>
  <r>
    <s v="N1007"/>
    <x v="6"/>
    <n v="52000"/>
    <n v="20"/>
    <n v="17"/>
    <n v="3"/>
    <n v="156000"/>
    <s v=""/>
  </r>
  <r>
    <s v="N1008"/>
    <x v="7"/>
    <n v="799"/>
    <n v="35"/>
    <n v="0"/>
    <n v="35"/>
    <n v="27965"/>
    <s v="📞 Rgb Keyboard Needs to re-order ! PH 9814xxxxxx"/>
  </r>
  <r>
    <s v="N1009"/>
    <x v="8"/>
    <n v="670"/>
    <n v="55"/>
    <n v="0"/>
    <n v="55"/>
    <n v="36850"/>
    <s v=""/>
  </r>
  <r>
    <s v="N1010"/>
    <x v="9"/>
    <n v="23500"/>
    <n v="40"/>
    <n v="0"/>
    <n v="40"/>
    <n v="94000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77563-DAF1-48B6-B1CE-04058E145CFE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9" firstHeaderRow="1" firstDataRow="1" firstDataCol="1"/>
  <pivotFields count="8">
    <pivotField showAll="0"/>
    <pivotField axis="axisRow" showAll="0" measureFilter="1" sortType="descending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1"/>
    </i>
    <i>
      <x v="9"/>
    </i>
    <i>
      <x v="5"/>
    </i>
    <i>
      <x v="3"/>
    </i>
    <i>
      <x v="6"/>
    </i>
    <i t="grand">
      <x/>
    </i>
  </rowItems>
  <colItems count="1">
    <i/>
  </colItems>
  <dataFields count="1">
    <dataField name="Sum of S Unit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03EFE-9235-4ABB-9E1B-DAB0BF5DAAEE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7">
    <pivotField showAll="0"/>
    <pivotField showAll="0"/>
    <pivotField showAll="0"/>
    <pivotField showAll="0"/>
    <pivotField showAll="0"/>
    <pivotField numFmtId="164"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618A4-77C8-47F7-85CC-1CE4E3B95C27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6:B37" firstHeaderRow="1" firstDataRow="1" firstDataCol="1"/>
  <pivotFields count="8">
    <pivotField showAll="0"/>
    <pivotField axis="axisRow" showAll="0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4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2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FAB92-A878-4BD5-BC60-E85BF450B658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F14:G20" firstHeaderRow="1" firstDataRow="1" firstDataCol="1"/>
  <pivotFields count="9">
    <pivotField showAll="0"/>
    <pivotField axis="axisRow" showAll="0" measureFilter="1" sortType="descending">
      <items count="8">
        <item x="3"/>
        <item x="5"/>
        <item x="1"/>
        <item x="6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dataField="1" numFmtId="164" showAll="0"/>
  </pivotFields>
  <rowFields count="1">
    <field x="1"/>
  </rowFields>
  <rowItems count="6">
    <i>
      <x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 of Amount" fld="8" baseField="0" baseItem="0" numFmtId="164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42373-C40F-4CE7-BB20-141E44248A25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4C2AF-E92A-4FBB-A7AC-7085E6F7B368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CC47E-3DB3-484F-B7A6-85361C397847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4">
    <pivotField showAll="0"/>
    <pivotField dataField="1" showAll="0"/>
    <pivotField numFmtId="164" showAll="0"/>
    <pivotField numFmtId="164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E344D-E67F-4425-9667-983C98C1F2F1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CCB070-E9DC-4FC0-98AF-3FF96F0EC48C}" name="customersdata" displayName="customersdata" ref="D8:G15" totalsRowShown="0" headerRowDxfId="51" dataDxfId="50">
  <autoFilter ref="D8:G15" xr:uid="{EDCCB070-E9DC-4FC0-98AF-3FF96F0EC48C}"/>
  <tableColumns count="4">
    <tableColumn id="1" xr3:uid="{5DBCC399-6612-41A8-9254-2A7ACC9C3434}" name="Cust_ID" dataDxfId="49"/>
    <tableColumn id="2" xr3:uid="{B866C41C-AB6C-4706-B119-3B06CB61DAC4}" name="Name" dataDxfId="48"/>
    <tableColumn id="3" xr3:uid="{7B6D6947-47D6-44C8-B4FB-A55A4E17E449}" name="Email" dataDxfId="47"/>
    <tableColumn id="4" xr3:uid="{5E9F5A44-45D1-44D3-BAE4-788AAEE8414F}" name="Address" data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58E6B3-9CB4-4316-8954-66B7DA6318D5}" name="Table4" displayName="Table4" ref="D8:G18" totalsRowShown="0" headerRowDxfId="45">
  <autoFilter ref="D8:G18" xr:uid="{B558E6B3-9CB4-4316-8954-66B7DA6318D5}"/>
  <tableColumns count="4">
    <tableColumn id="1" xr3:uid="{CE130791-85BC-4CBC-91A0-6EDB67E0F6DB}" name="HSN Code" dataDxfId="44"/>
    <tableColumn id="2" xr3:uid="{20B89A11-9AA3-40B9-B6AF-963256AF98AF}" name="Product Name" dataDxfId="43"/>
    <tableColumn id="3" xr3:uid="{708D55A5-B93E-4F40-99EA-6F6B4FD5601F}" name="Cost" dataDxfId="42"/>
    <tableColumn id="4" xr3:uid="{FD891388-3E05-4535-9F1D-42ECE64671BA}" name="Selling Price" dataDxfId="4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8A0DBF-B5A0-4120-B7D0-9CA7939ECF49}" name="vendorsdata" displayName="vendorsdata" ref="D8:H18" totalsRowShown="0" headerRowDxfId="40" dataDxfId="39">
  <autoFilter ref="D8:H18" xr:uid="{DE8A0DBF-B5A0-4120-B7D0-9CA7939ECF49}"/>
  <tableColumns count="5">
    <tableColumn id="1" xr3:uid="{BB845FF3-82A8-4796-8106-760486AA04C6}" name="HSN Code" dataDxfId="38"/>
    <tableColumn id="2" xr3:uid="{B383588C-3B80-4004-9A6E-92AFB7A99347}" name="Product Name" dataDxfId="37"/>
    <tableColumn id="3" xr3:uid="{BDFE1F7F-AB52-4483-8C8B-4434907A70F2}" name="Vendor Name" dataDxfId="36"/>
    <tableColumn id="4" xr3:uid="{54199724-12CD-4BFE-BBD9-35E5E7FCB00F}" name="Phone" dataDxfId="35"/>
    <tableColumn id="5" xr3:uid="{169B842B-87E2-470A-BE41-5D78D923A574}" name="Address" dataDxfId="3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9E77C-762B-411C-9B0E-B5F66616B7BD}" name="purchasedata" displayName="purchasedata" ref="D9:J20" totalsRowShown="0" headerRowDxfId="33" dataDxfId="31" headerRowBorderDxfId="32" tableBorderDxfId="30">
  <autoFilter ref="D9:J20" xr:uid="{2749E77C-762B-411C-9B0E-B5F66616B7BD}">
    <filterColumn colId="4">
      <filters blank="1"/>
    </filterColumn>
  </autoFilter>
  <tableColumns count="7">
    <tableColumn id="1" xr3:uid="{A11F1A82-5843-41BD-AF1E-BCD3784B805B}" name="HSN Code" dataDxfId="29"/>
    <tableColumn id="2" xr3:uid="{775EDAB7-0F4C-4F4F-9F8C-2D15C4252A1C}" name="Product Name" dataDxfId="28">
      <calculatedColumnFormula>VLOOKUP(purchasedata[[#This Row],[HSN Code]],Table4[#All],2,0)</calculatedColumnFormula>
    </tableColumn>
    <tableColumn id="3" xr3:uid="{FA9C1B9E-8574-4ED0-BCC2-E079746EB666}" name="Vendor" dataDxfId="27">
      <calculatedColumnFormula>VLOOKUP(purchasedata[[#This Row],[HSN Code]],vendorsdata[#All],3,0)</calculatedColumnFormula>
    </tableColumn>
    <tableColumn id="4" xr3:uid="{F4C6FE35-2F6A-4C49-9F69-F04B985E7ECC}" name="Date" dataDxfId="26"/>
    <tableColumn id="8" xr3:uid="{00E53D82-02D2-40D5-8478-DFC292044747}" name="Unit" dataDxfId="25"/>
    <tableColumn id="5" xr3:uid="{43F6A78B-FE27-4FD8-AD53-F9B439B1E944}" name="Cost" dataDxfId="24">
      <calculatedColumnFormula>VLOOKUP(purchasedata[[#This Row],[HSN Code]],Table4[#All],3,0)</calculatedColumnFormula>
    </tableColumn>
    <tableColumn id="6" xr3:uid="{79548B0C-4765-4191-A376-86F6AB2542B6}" name="Amount" dataDxfId="23">
      <calculatedColumnFormula>purchasedata[[#This Row],[Unit]]*purchasedata[[#This Row],[Cost]]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55265-E228-41F4-A939-7C66C46B108A}" name="salesdata" displayName="salesdata" ref="D8:L15" totalsRowShown="0" headerRowDxfId="22" dataDxfId="20" headerRowBorderDxfId="21" tableBorderDxfId="19">
  <autoFilter ref="D8:L15" xr:uid="{9B455265-E228-41F4-A939-7C66C46B108A}"/>
  <tableColumns count="9">
    <tableColumn id="1" xr3:uid="{AFE4A2F5-66E7-4B27-9616-F69659CC0A42}" name="Cust_ID" dataDxfId="18"/>
    <tableColumn id="2" xr3:uid="{EA931CF2-C83A-463B-B417-8B61F44FF6E9}" name="Cust_Name" dataDxfId="17">
      <calculatedColumnFormula>VLOOKUP(salesdata[[#This Row],[Cust_ID]],customersdata[#All],2,0)</calculatedColumnFormula>
    </tableColumn>
    <tableColumn id="3" xr3:uid="{1A996EBD-9DA6-4688-A9FF-57EA42A957F8}" name="HSN Code" dataDxfId="16"/>
    <tableColumn id="4" xr3:uid="{4BA6EA17-5F80-4A41-A9B3-61DD91542A4C}" name="Product Name" dataDxfId="15">
      <calculatedColumnFormula>VLOOKUP(salesdata[[#This Row],[HSN Code]],Table4[#All],2,0)</calculatedColumnFormula>
    </tableColumn>
    <tableColumn id="5" xr3:uid="{EE9F08BA-521A-4C9D-9582-68E211AF16B4}" name="Date" dataDxfId="14"/>
    <tableColumn id="6" xr3:uid="{9AFA1436-233A-434B-A872-9BF12FDC0A01}" name="Stock(Units)" dataDxfId="13">
      <calculatedColumnFormula>VLOOKUP(salesdata[[#This Row],[HSN Code]],Table3[#All],6,0)</calculatedColumnFormula>
    </tableColumn>
    <tableColumn id="7" xr3:uid="{7FBA94A7-A660-4C69-94D6-3877A9A25C9B}" name="Units" dataDxfId="12"/>
    <tableColumn id="8" xr3:uid="{2CC30D90-2509-40ED-885F-03F2ABE9873C}" name="Price" dataDxfId="11">
      <calculatedColumnFormula>VLOOKUP(salesdata[[#This Row],[HSN Code]],Table4[#All],4,0)</calculatedColumnFormula>
    </tableColumn>
    <tableColumn id="9" xr3:uid="{9720D7C3-B6C6-4A8B-89B4-4E7A0A525405}" name="Amount" dataDxfId="10">
      <calculatedColumnFormula>salesdata[[#This Row],[Price]]*salesdata[[#This Row],[Units]]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36A561-CF5B-4EBF-89E1-62A08F1AF72E}" name="Table3" displayName="Table3" ref="D8:K18" totalsRowShown="0" headerRowDxfId="9" dataDxfId="8">
  <autoFilter ref="D8:K18" xr:uid="{1136A561-CF5B-4EBF-89E1-62A08F1AF72E}"/>
  <tableColumns count="8">
    <tableColumn id="1" xr3:uid="{66B0A7AB-C71A-44DA-B4CC-D57F7040D95F}" name="HSN Code" dataDxfId="7">
      <calculatedColumnFormula>Table4[[#This Row],[HSN Code]]</calculatedColumnFormula>
    </tableColumn>
    <tableColumn id="2" xr3:uid="{6780B66C-50AA-43D3-BF2E-B4E22194E6B4}" name="Product Name" dataDxfId="6">
      <calculatedColumnFormula>Table4[[#This Row],[Product Name]]</calculatedColumnFormula>
    </tableColumn>
    <tableColumn id="3" xr3:uid="{43B5F69E-9D79-4E57-A9C1-DF41827BE191}" name="Cost" dataDxfId="5">
      <calculatedColumnFormula>Table4[[#This Row],[Cost]]</calculatedColumnFormula>
    </tableColumn>
    <tableColumn id="4" xr3:uid="{B300B3CF-27D4-44F4-9D33-733E90F1D3AF}" name="P Units" dataDxfId="4">
      <calculatedColumnFormula>SUMIF(Purchase!E11:E20,Table3[[#This Row],[Product Name]],Purchase!H11:H20)</calculatedColumnFormula>
    </tableColumn>
    <tableColumn id="5" xr3:uid="{47E2D77E-74E6-4BDE-B4CA-7AE5D7372E04}" name="S Units" dataDxfId="3">
      <calculatedColumnFormula>SUMIF(salesdata[Product Name],Table3[[#This Row],[Product Name]],salesdata[Units])</calculatedColumnFormula>
    </tableColumn>
    <tableColumn id="6" xr3:uid="{5205CAE4-56EF-4215-8158-CD1038F6C885}" name="Stock" dataDxfId="2">
      <calculatedColumnFormula>Table3[[#This Row],[P Units]]-Table3[[#This Row],[S Units]]</calculatedColumnFormula>
    </tableColumn>
    <tableColumn id="7" xr3:uid="{F22010BF-926E-455D-915B-E25BEB80F9BB}" name="Stock Amount" dataDxfId="1">
      <calculatedColumnFormula>Table3[[#This Row],[Cost]]*Table3[[#This Row],[Stock]]</calculatedColumnFormula>
    </tableColumn>
    <tableColumn id="8" xr3:uid="{F85E3805-0B0F-45F9-B968-48D7FEC55A06}" name="Notification" dataDxfId="0">
      <calculatedColumnFormula>IF(I8&lt;5, "📞 "&amp;E7&amp;" Needs to re-order ! PH "&amp;VLOOKUP(Table3[[#This Row],[HSN Code]],vendorsdata[#All],4,0),"")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01"/>
  <sheetViews>
    <sheetView showGridLines="0" showRowColHeaders="0" tabSelected="1" zoomScaleNormal="100" workbookViewId="0">
      <selection activeCell="G38" sqref="G38"/>
    </sheetView>
  </sheetViews>
  <sheetFormatPr defaultRowHeight="14.4" x14ac:dyDescent="0.3"/>
  <cols>
    <col min="1" max="1" width="2.88671875" style="1" customWidth="1"/>
    <col min="2" max="2" width="24.21875" style="2" customWidth="1"/>
    <col min="3" max="3" width="6.21875" style="1" customWidth="1"/>
    <col min="4" max="16384" width="8.88671875" style="1"/>
  </cols>
  <sheetData>
    <row r="1" spans="14:20" s="1" customFormat="1" x14ac:dyDescent="0.3"/>
    <row r="15" spans="14:20" x14ac:dyDescent="0.3">
      <c r="N15" s="19" t="s">
        <v>92</v>
      </c>
      <c r="O15" s="19"/>
      <c r="P15" s="19"/>
      <c r="Q15" s="19"/>
      <c r="R15" s="19"/>
      <c r="S15" s="19"/>
      <c r="T15" s="19"/>
    </row>
    <row r="16" spans="14:20" x14ac:dyDescent="0.3">
      <c r="N16" s="19"/>
      <c r="O16" s="19"/>
      <c r="P16" s="19"/>
      <c r="Q16" s="19"/>
      <c r="R16" s="19"/>
      <c r="S16" s="19"/>
      <c r="T16" s="19"/>
    </row>
    <row r="17" spans="14:20" x14ac:dyDescent="0.3">
      <c r="N17" s="17"/>
      <c r="O17" s="17"/>
      <c r="P17" s="17"/>
      <c r="Q17" s="17"/>
      <c r="R17" s="17"/>
      <c r="S17" s="17"/>
      <c r="T17" s="17"/>
    </row>
    <row r="18" spans="14:20" ht="18" x14ac:dyDescent="0.35">
      <c r="N18" s="18" t="str" cm="1">
        <f t="array" ref="N18:N19">_xlfn._xlws.FILTER(Inventory!K11:K12,8,0)</f>
        <v>📞 Smart Watch Needs to re-order ! PH 9812xxxxxx</v>
      </c>
      <c r="O18" s="18"/>
      <c r="P18" s="18"/>
      <c r="Q18" s="18"/>
      <c r="R18" s="18"/>
      <c r="S18" s="18"/>
      <c r="T18" s="17"/>
    </row>
    <row r="19" spans="14:20" ht="22.2" customHeight="1" x14ac:dyDescent="0.35">
      <c r="N19" s="18" t="str">
        <v>📞 Laptop HP xyz i5 Needs to re-order ! PH 9813xxxxxx</v>
      </c>
      <c r="O19" s="18"/>
      <c r="P19" s="18"/>
      <c r="Q19" s="18"/>
      <c r="R19" s="18"/>
      <c r="S19" s="18"/>
      <c r="T19" s="17"/>
    </row>
    <row r="20" spans="14:20" ht="23.4" customHeight="1" x14ac:dyDescent="0.35">
      <c r="N20" s="18" t="str" cm="1">
        <f t="array" ref="N20">_xlfn._xlws.FILTER(Inventory!K14,8,0)</f>
        <v>📞 Desktop Needs to re-order ! PH 9813xxxxxx</v>
      </c>
      <c r="O20" s="18"/>
      <c r="P20" s="18"/>
      <c r="Q20" s="18"/>
      <c r="R20" s="18"/>
      <c r="S20" s="18"/>
      <c r="T20" s="18"/>
    </row>
    <row r="21" spans="14:20" ht="22.2" customHeight="1" x14ac:dyDescent="0.35">
      <c r="N21" s="18" t="str" cm="1">
        <f t="array" ref="N21">_xlfn._xlws.FILTER(Inventory!K16,8,0)</f>
        <v>📞 Rgb Keyboard Needs to re-order ! PH 9814xxxxxx</v>
      </c>
      <c r="O21" s="18"/>
      <c r="P21" s="18"/>
      <c r="Q21" s="18"/>
      <c r="R21" s="18"/>
      <c r="S21" s="18"/>
      <c r="T21" s="17"/>
    </row>
    <row r="22" spans="14:20" ht="20.399999999999999" customHeight="1" x14ac:dyDescent="0.35">
      <c r="N22" s="18"/>
      <c r="O22" s="18"/>
      <c r="P22" s="18"/>
      <c r="Q22" s="18"/>
      <c r="R22" s="18"/>
      <c r="S22" s="18"/>
      <c r="T22" s="17"/>
    </row>
    <row r="23" spans="14:20" ht="18" x14ac:dyDescent="0.35">
      <c r="N23" s="18"/>
      <c r="O23" s="18"/>
      <c r="P23" s="18"/>
      <c r="Q23" s="18"/>
      <c r="R23" s="18"/>
      <c r="S23" s="18"/>
      <c r="T23" s="18"/>
    </row>
    <row r="24" spans="14:20" x14ac:dyDescent="0.3">
      <c r="N24" s="17"/>
      <c r="O24" s="17"/>
      <c r="P24" s="17"/>
      <c r="Q24" s="17"/>
      <c r="R24" s="17"/>
      <c r="S24" s="17"/>
      <c r="T24" s="17"/>
    </row>
    <row r="25" spans="14:20" x14ac:dyDescent="0.3">
      <c r="N25" s="17"/>
      <c r="O25" s="17"/>
      <c r="P25" s="17"/>
      <c r="Q25" s="17"/>
      <c r="R25" s="17"/>
      <c r="S25" s="17"/>
      <c r="T25" s="17"/>
    </row>
    <row r="26" spans="14:20" x14ac:dyDescent="0.3">
      <c r="N26" s="17"/>
      <c r="O26" s="17"/>
      <c r="P26" s="17"/>
      <c r="Q26" s="17"/>
      <c r="R26" s="17"/>
      <c r="S26" s="17"/>
      <c r="T26" s="17"/>
    </row>
    <row r="27" spans="14:20" x14ac:dyDescent="0.3">
      <c r="N27" s="17"/>
      <c r="O27" s="17"/>
      <c r="P27" s="17"/>
      <c r="Q27" s="17"/>
      <c r="R27" s="17"/>
      <c r="S27" s="17"/>
      <c r="T27" s="17"/>
    </row>
    <row r="28" spans="14:20" x14ac:dyDescent="0.3">
      <c r="N28" s="17"/>
      <c r="O28" s="17"/>
      <c r="P28" s="17"/>
      <c r="Q28" s="17"/>
      <c r="R28" s="17"/>
      <c r="S28" s="17"/>
      <c r="T28" s="17"/>
    </row>
    <row r="29" spans="14:20" x14ac:dyDescent="0.3">
      <c r="N29" s="17"/>
      <c r="O29" s="17"/>
      <c r="P29" s="17"/>
      <c r="Q29" s="17"/>
      <c r="R29" s="17"/>
      <c r="S29" s="17"/>
      <c r="T29" s="17"/>
    </row>
    <row r="30" spans="14:20" x14ac:dyDescent="0.3">
      <c r="N30" s="17"/>
      <c r="O30" s="17"/>
      <c r="P30" s="17"/>
      <c r="Q30" s="17"/>
      <c r="R30" s="17"/>
      <c r="S30" s="17"/>
      <c r="T30" s="17"/>
    </row>
    <row r="31" spans="14:20" x14ac:dyDescent="0.3">
      <c r="N31" s="17"/>
      <c r="O31" s="17"/>
      <c r="P31" s="17"/>
      <c r="Q31" s="17"/>
      <c r="R31" s="17"/>
      <c r="S31" s="17"/>
      <c r="T31" s="17"/>
    </row>
    <row r="32" spans="14:20" x14ac:dyDescent="0.3">
      <c r="N32" s="17"/>
      <c r="O32" s="17"/>
      <c r="P32" s="17"/>
      <c r="Q32" s="17"/>
      <c r="R32" s="17"/>
      <c r="S32" s="17"/>
      <c r="T32" s="17"/>
    </row>
    <row r="33" spans="2:20" x14ac:dyDescent="0.3">
      <c r="N33" s="17"/>
      <c r="O33" s="17"/>
      <c r="P33" s="17"/>
      <c r="Q33" s="17"/>
      <c r="R33" s="17"/>
      <c r="S33" s="17"/>
      <c r="T33" s="17"/>
    </row>
    <row r="34" spans="2:20" x14ac:dyDescent="0.3">
      <c r="N34" s="17"/>
      <c r="O34" s="17"/>
      <c r="P34" s="17"/>
      <c r="Q34" s="17"/>
      <c r="R34" s="17"/>
      <c r="S34" s="17"/>
      <c r="T34" s="17"/>
    </row>
    <row r="35" spans="2:20" x14ac:dyDescent="0.3">
      <c r="N35" s="17"/>
      <c r="O35" s="17"/>
      <c r="P35" s="17"/>
      <c r="Q35" s="17"/>
      <c r="R35" s="17"/>
      <c r="S35" s="17"/>
      <c r="T35" s="17"/>
    </row>
    <row r="36" spans="2:20" x14ac:dyDescent="0.3">
      <c r="N36" s="17"/>
      <c r="O36" s="17"/>
      <c r="P36" s="17"/>
      <c r="Q36" s="17"/>
      <c r="R36" s="17"/>
      <c r="S36" s="17"/>
      <c r="T36" s="17"/>
    </row>
    <row r="37" spans="2:20" x14ac:dyDescent="0.3">
      <c r="B37" s="1"/>
    </row>
    <row r="38" spans="2:20" x14ac:dyDescent="0.3">
      <c r="B38" s="1"/>
    </row>
    <row r="39" spans="2:20" x14ac:dyDescent="0.3">
      <c r="B39" s="1"/>
    </row>
    <row r="40" spans="2:20" x14ac:dyDescent="0.3">
      <c r="B40" s="1"/>
    </row>
    <row r="41" spans="2:20" x14ac:dyDescent="0.3">
      <c r="B41" s="1"/>
    </row>
    <row r="42" spans="2:20" x14ac:dyDescent="0.3">
      <c r="B42" s="1"/>
    </row>
    <row r="43" spans="2:20" x14ac:dyDescent="0.3">
      <c r="B43" s="1"/>
    </row>
    <row r="44" spans="2:20" x14ac:dyDescent="0.3">
      <c r="B44" s="1"/>
    </row>
    <row r="45" spans="2:20" x14ac:dyDescent="0.3">
      <c r="B45" s="1"/>
    </row>
    <row r="46" spans="2:20" x14ac:dyDescent="0.3">
      <c r="B46" s="1"/>
    </row>
    <row r="47" spans="2:20" x14ac:dyDescent="0.3">
      <c r="B47" s="1"/>
    </row>
    <row r="48" spans="2:20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</sheetData>
  <mergeCells count="1">
    <mergeCell ref="N15:T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FA89-63C0-432A-BF75-A61F75332CEE}">
  <dimension ref="B1:G20"/>
  <sheetViews>
    <sheetView showGridLines="0" showRowColHeaders="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88671875" style="1" customWidth="1"/>
    <col min="4" max="4" width="18.33203125" style="1" customWidth="1"/>
    <col min="5" max="5" width="23.5546875" style="1" customWidth="1"/>
    <col min="6" max="6" width="21.6640625" style="1" customWidth="1"/>
    <col min="7" max="7" width="25.88671875" style="1" customWidth="1"/>
    <col min="8" max="16384" width="8.88671875" style="1"/>
  </cols>
  <sheetData>
    <row r="1" spans="4:7" s="1" customFormat="1" x14ac:dyDescent="0.3"/>
    <row r="8" spans="4:7" ht="21" x14ac:dyDescent="0.4">
      <c r="D8" s="3" t="s">
        <v>0</v>
      </c>
      <c r="E8" s="4" t="s">
        <v>1</v>
      </c>
      <c r="F8" s="4" t="s">
        <v>2</v>
      </c>
      <c r="G8" s="4" t="s">
        <v>3</v>
      </c>
    </row>
    <row r="9" spans="4:7" ht="21" x14ac:dyDescent="0.4">
      <c r="D9" s="3">
        <v>100</v>
      </c>
      <c r="E9" s="4" t="s">
        <v>4</v>
      </c>
      <c r="F9" s="4" t="s">
        <v>5</v>
      </c>
      <c r="G9" s="4" t="s">
        <v>6</v>
      </c>
    </row>
    <row r="10" spans="4:7" ht="21" x14ac:dyDescent="0.4">
      <c r="D10" s="3">
        <v>101</v>
      </c>
      <c r="E10" s="4" t="s">
        <v>7</v>
      </c>
      <c r="F10" s="4" t="s">
        <v>8</v>
      </c>
      <c r="G10" s="4" t="s">
        <v>9</v>
      </c>
    </row>
    <row r="11" spans="4:7" ht="21" x14ac:dyDescent="0.4">
      <c r="D11" s="3">
        <v>102</v>
      </c>
      <c r="E11" s="4" t="s">
        <v>10</v>
      </c>
      <c r="F11" s="4" t="s">
        <v>11</v>
      </c>
      <c r="G11" s="4" t="s">
        <v>12</v>
      </c>
    </row>
    <row r="12" spans="4:7" ht="21" x14ac:dyDescent="0.4">
      <c r="D12" s="3">
        <v>103</v>
      </c>
      <c r="E12" s="4" t="s">
        <v>13</v>
      </c>
      <c r="F12" s="4" t="s">
        <v>14</v>
      </c>
      <c r="G12" s="4" t="s">
        <v>15</v>
      </c>
    </row>
    <row r="13" spans="4:7" ht="21" x14ac:dyDescent="0.4">
      <c r="D13" s="3">
        <v>104</v>
      </c>
      <c r="E13" s="4" t="s">
        <v>16</v>
      </c>
      <c r="F13" s="4" t="s">
        <v>17</v>
      </c>
      <c r="G13" s="4" t="s">
        <v>18</v>
      </c>
    </row>
    <row r="14" spans="4:7" ht="21" x14ac:dyDescent="0.4">
      <c r="D14" s="3">
        <v>105</v>
      </c>
      <c r="E14" s="4" t="s">
        <v>19</v>
      </c>
      <c r="F14" s="4" t="s">
        <v>20</v>
      </c>
      <c r="G14" s="4" t="s">
        <v>21</v>
      </c>
    </row>
    <row r="15" spans="4:7" ht="21" x14ac:dyDescent="0.4">
      <c r="D15" s="3">
        <v>106</v>
      </c>
      <c r="E15" s="4" t="s">
        <v>22</v>
      </c>
      <c r="F15" s="4" t="s">
        <v>23</v>
      </c>
      <c r="G15" s="4" t="s">
        <v>24</v>
      </c>
    </row>
    <row r="20" ht="4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409B-62D5-43D6-A62F-421E072789D2}">
  <dimension ref="B1:G20"/>
  <sheetViews>
    <sheetView showGridLines="0" showRowColHeaders="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5546875" style="1" customWidth="1"/>
    <col min="4" max="4" width="24.88671875" style="1" customWidth="1"/>
    <col min="5" max="5" width="21.21875" style="1" customWidth="1"/>
    <col min="6" max="7" width="23.88671875" style="1" customWidth="1"/>
    <col min="8" max="16384" width="8.88671875" style="1"/>
  </cols>
  <sheetData>
    <row r="1" spans="4:7" s="1" customFormat="1" x14ac:dyDescent="0.3"/>
    <row r="8" spans="4:7" ht="21" x14ac:dyDescent="0.4">
      <c r="D8" s="4" t="s">
        <v>25</v>
      </c>
      <c r="E8" s="4" t="s">
        <v>26</v>
      </c>
      <c r="F8" s="4" t="s">
        <v>27</v>
      </c>
      <c r="G8" s="4" t="s">
        <v>28</v>
      </c>
    </row>
    <row r="9" spans="4:7" ht="21" x14ac:dyDescent="0.4">
      <c r="D9" s="4" t="s">
        <v>29</v>
      </c>
      <c r="E9" s="4" t="s">
        <v>30</v>
      </c>
      <c r="F9" s="5">
        <v>980</v>
      </c>
      <c r="G9" s="5">
        <v>1176</v>
      </c>
    </row>
    <row r="10" spans="4:7" ht="21" x14ac:dyDescent="0.4">
      <c r="D10" s="4" t="s">
        <v>31</v>
      </c>
      <c r="E10" s="4" t="s">
        <v>32</v>
      </c>
      <c r="F10" s="5">
        <v>34500</v>
      </c>
      <c r="G10" s="5">
        <v>41400</v>
      </c>
    </row>
    <row r="11" spans="4:7" ht="21" x14ac:dyDescent="0.4">
      <c r="D11" s="4" t="s">
        <v>33</v>
      </c>
      <c r="E11" s="4" t="s">
        <v>34</v>
      </c>
      <c r="F11" s="5">
        <v>4600</v>
      </c>
      <c r="G11" s="5">
        <v>5520</v>
      </c>
    </row>
    <row r="12" spans="4:7" ht="21" x14ac:dyDescent="0.4">
      <c r="D12" s="4" t="s">
        <v>35</v>
      </c>
      <c r="E12" s="4" t="s">
        <v>36</v>
      </c>
      <c r="F12" s="5">
        <v>21000</v>
      </c>
      <c r="G12" s="5">
        <v>25200</v>
      </c>
    </row>
    <row r="13" spans="4:7" ht="21" x14ac:dyDescent="0.4">
      <c r="D13" s="4" t="s">
        <v>37</v>
      </c>
      <c r="E13" s="4" t="s">
        <v>38</v>
      </c>
      <c r="F13" s="5">
        <v>200</v>
      </c>
      <c r="G13" s="5">
        <v>240</v>
      </c>
    </row>
    <row r="14" spans="4:7" ht="21" x14ac:dyDescent="0.4">
      <c r="D14" s="4" t="s">
        <v>39</v>
      </c>
      <c r="E14" s="4" t="s">
        <v>40</v>
      </c>
      <c r="F14" s="5">
        <v>340</v>
      </c>
      <c r="G14" s="5">
        <v>408</v>
      </c>
    </row>
    <row r="15" spans="4:7" ht="21" x14ac:dyDescent="0.4">
      <c r="D15" s="4" t="s">
        <v>41</v>
      </c>
      <c r="E15" s="4" t="s">
        <v>42</v>
      </c>
      <c r="F15" s="5">
        <v>52000</v>
      </c>
      <c r="G15" s="5">
        <v>62400</v>
      </c>
    </row>
    <row r="16" spans="4:7" ht="21" x14ac:dyDescent="0.4">
      <c r="D16" s="4" t="s">
        <v>43</v>
      </c>
      <c r="E16" s="4" t="s">
        <v>44</v>
      </c>
      <c r="F16" s="5">
        <v>799</v>
      </c>
      <c r="G16" s="5">
        <v>958.8</v>
      </c>
    </row>
    <row r="17" spans="4:7" ht="21" x14ac:dyDescent="0.4">
      <c r="D17" s="4" t="s">
        <v>45</v>
      </c>
      <c r="E17" s="4" t="s">
        <v>46</v>
      </c>
      <c r="F17" s="5">
        <v>670</v>
      </c>
      <c r="G17" s="5">
        <v>804</v>
      </c>
    </row>
    <row r="18" spans="4:7" ht="21" x14ac:dyDescent="0.4">
      <c r="D18" s="4" t="s">
        <v>47</v>
      </c>
      <c r="E18" s="4" t="s">
        <v>48</v>
      </c>
      <c r="F18" s="5">
        <v>23500</v>
      </c>
      <c r="G18" s="5">
        <v>28200</v>
      </c>
    </row>
    <row r="20" spans="4:7" ht="45" customHeight="1" x14ac:dyDescent="0.3"/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1650-7745-4A5F-8F8A-4759C608BF19}">
  <dimension ref="B1:H20"/>
  <sheetViews>
    <sheetView showGridLines="0" showRowColHeaders="0" topLeftCell="A1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77734375" style="1" customWidth="1"/>
    <col min="4" max="4" width="21.88671875" style="1" customWidth="1"/>
    <col min="5" max="5" width="21.109375" style="1" customWidth="1"/>
    <col min="6" max="6" width="21.77734375" style="1" customWidth="1"/>
    <col min="7" max="7" width="24.33203125" style="1" customWidth="1"/>
    <col min="8" max="8" width="25" style="1" customWidth="1"/>
    <col min="9" max="16384" width="8.88671875" style="1"/>
  </cols>
  <sheetData>
    <row r="1" spans="4:8" s="1" customFormat="1" x14ac:dyDescent="0.3"/>
    <row r="8" spans="4:8" ht="21" x14ac:dyDescent="0.4">
      <c r="D8" s="4" t="s">
        <v>25</v>
      </c>
      <c r="E8" s="4" t="s">
        <v>26</v>
      </c>
      <c r="F8" s="4" t="s">
        <v>49</v>
      </c>
      <c r="G8" s="4" t="s">
        <v>50</v>
      </c>
      <c r="H8" s="4" t="s">
        <v>3</v>
      </c>
    </row>
    <row r="9" spans="4:8" ht="21" x14ac:dyDescent="0.4">
      <c r="D9" s="4" t="s">
        <v>29</v>
      </c>
      <c r="E9" s="4" t="s">
        <v>30</v>
      </c>
      <c r="F9" s="4" t="s">
        <v>51</v>
      </c>
      <c r="G9" s="4" t="s">
        <v>52</v>
      </c>
      <c r="H9" s="4" t="s">
        <v>12</v>
      </c>
    </row>
    <row r="10" spans="4:8" ht="21" x14ac:dyDescent="0.4">
      <c r="D10" s="4" t="s">
        <v>31</v>
      </c>
      <c r="E10" s="4" t="s">
        <v>32</v>
      </c>
      <c r="F10" s="4" t="s">
        <v>51</v>
      </c>
      <c r="G10" s="4" t="s">
        <v>52</v>
      </c>
      <c r="H10" s="4" t="s">
        <v>53</v>
      </c>
    </row>
    <row r="11" spans="4:8" ht="21" x14ac:dyDescent="0.4">
      <c r="D11" s="4" t="s">
        <v>33</v>
      </c>
      <c r="E11" s="4" t="s">
        <v>34</v>
      </c>
      <c r="F11" s="4" t="s">
        <v>51</v>
      </c>
      <c r="G11" s="4" t="s">
        <v>52</v>
      </c>
      <c r="H11" s="4" t="s">
        <v>54</v>
      </c>
    </row>
    <row r="12" spans="4:8" ht="21" x14ac:dyDescent="0.4">
      <c r="D12" s="4" t="s">
        <v>35</v>
      </c>
      <c r="E12" s="4" t="s">
        <v>36</v>
      </c>
      <c r="F12" s="4" t="s">
        <v>55</v>
      </c>
      <c r="G12" s="4" t="s">
        <v>56</v>
      </c>
      <c r="H12" s="4" t="s">
        <v>21</v>
      </c>
    </row>
    <row r="13" spans="4:8" ht="21" x14ac:dyDescent="0.4">
      <c r="D13" s="4" t="s">
        <v>37</v>
      </c>
      <c r="E13" s="4" t="s">
        <v>38</v>
      </c>
      <c r="F13" s="4" t="s">
        <v>55</v>
      </c>
      <c r="G13" s="4" t="s">
        <v>56</v>
      </c>
      <c r="H13" s="4" t="s">
        <v>57</v>
      </c>
    </row>
    <row r="14" spans="4:8" ht="21" x14ac:dyDescent="0.4">
      <c r="D14" s="4" t="s">
        <v>39</v>
      </c>
      <c r="E14" s="4" t="s">
        <v>40</v>
      </c>
      <c r="F14" s="4" t="s">
        <v>55</v>
      </c>
      <c r="G14" s="4" t="s">
        <v>56</v>
      </c>
      <c r="H14" s="4" t="s">
        <v>58</v>
      </c>
    </row>
    <row r="15" spans="4:8" ht="21" x14ac:dyDescent="0.4">
      <c r="D15" s="4" t="s">
        <v>41</v>
      </c>
      <c r="E15" s="4" t="s">
        <v>42</v>
      </c>
      <c r="F15" s="4" t="s">
        <v>55</v>
      </c>
      <c r="G15" s="4" t="s">
        <v>56</v>
      </c>
      <c r="H15" s="4" t="s">
        <v>59</v>
      </c>
    </row>
    <row r="16" spans="4:8" ht="21" x14ac:dyDescent="0.4">
      <c r="D16" s="4" t="s">
        <v>43</v>
      </c>
      <c r="E16" s="4" t="s">
        <v>44</v>
      </c>
      <c r="F16" s="4" t="s">
        <v>60</v>
      </c>
      <c r="G16" s="4" t="s">
        <v>61</v>
      </c>
      <c r="H16" s="4" t="s">
        <v>62</v>
      </c>
    </row>
    <row r="17" spans="4:8" ht="21" x14ac:dyDescent="0.4">
      <c r="D17" s="4" t="s">
        <v>45</v>
      </c>
      <c r="E17" s="4" t="s">
        <v>46</v>
      </c>
      <c r="F17" s="4" t="s">
        <v>60</v>
      </c>
      <c r="G17" s="4" t="s">
        <v>61</v>
      </c>
      <c r="H17" s="4" t="s">
        <v>63</v>
      </c>
    </row>
    <row r="18" spans="4:8" ht="21" x14ac:dyDescent="0.4">
      <c r="D18" s="4" t="s">
        <v>47</v>
      </c>
      <c r="E18" s="4" t="s">
        <v>48</v>
      </c>
      <c r="F18" s="4" t="s">
        <v>60</v>
      </c>
      <c r="G18" s="4" t="s">
        <v>61</v>
      </c>
      <c r="H18" s="4" t="s">
        <v>64</v>
      </c>
    </row>
    <row r="20" spans="4:8" ht="4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6AEE-C4D5-401A-95E8-B1FAFF5D75D3}">
  <dimension ref="B1:F20"/>
  <sheetViews>
    <sheetView showGridLines="0" showRowColHeaders="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6640625" style="1" customWidth="1"/>
    <col min="4" max="5" width="8.88671875" style="1"/>
    <col min="6" max="6" width="28" style="1" customWidth="1"/>
    <col min="7" max="16384" width="8.88671875" style="1"/>
  </cols>
  <sheetData>
    <row r="1" spans="6:6" s="1" customFormat="1" x14ac:dyDescent="0.3"/>
    <row r="11" spans="6:6" ht="28.8" x14ac:dyDescent="0.55000000000000004">
      <c r="F11" s="6" t="s">
        <v>65</v>
      </c>
    </row>
    <row r="14" spans="6:6" ht="28.8" x14ac:dyDescent="0.55000000000000004">
      <c r="F14" s="6" t="s">
        <v>66</v>
      </c>
    </row>
    <row r="20" ht="45" customHeight="1" x14ac:dyDescent="0.3"/>
  </sheetData>
  <hyperlinks>
    <hyperlink ref="F11" location="Purchase!A1" display="Purchase Entry" xr:uid="{097D13BE-4BB8-4EFB-9DA5-64F856294266}"/>
    <hyperlink ref="F14" location="Sales!A1" display="Sales Entry" xr:uid="{467AD82F-2D5E-4B6B-AEC8-153D1033BCA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AC68-5C8C-4483-AA8D-FA4731F08E82}">
  <dimension ref="B1:J21"/>
  <sheetViews>
    <sheetView showGridLines="0" showRowColHeaders="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77734375" style="1" customWidth="1"/>
    <col min="4" max="4" width="17.33203125" style="7" customWidth="1"/>
    <col min="5" max="5" width="24.21875" style="7" customWidth="1"/>
    <col min="6" max="6" width="20" style="7" customWidth="1"/>
    <col min="7" max="7" width="19.109375" style="7" customWidth="1"/>
    <col min="8" max="8" width="17.77734375" style="7" customWidth="1"/>
    <col min="9" max="9" width="20.5546875" style="7" customWidth="1"/>
    <col min="10" max="10" width="21.109375" style="7" customWidth="1"/>
    <col min="11" max="16384" width="8.88671875" style="1"/>
  </cols>
  <sheetData>
    <row r="1" spans="2:10" x14ac:dyDescent="0.3">
      <c r="B1" s="1"/>
    </row>
    <row r="9" spans="2:10" ht="21" x14ac:dyDescent="0.4">
      <c r="D9" s="11" t="s">
        <v>25</v>
      </c>
      <c r="E9" s="11" t="s">
        <v>26</v>
      </c>
      <c r="F9" s="11" t="s">
        <v>67</v>
      </c>
      <c r="G9" s="11" t="s">
        <v>68</v>
      </c>
      <c r="H9" s="11" t="s">
        <v>74</v>
      </c>
      <c r="I9" s="11" t="s">
        <v>27</v>
      </c>
      <c r="J9" s="11" t="s">
        <v>70</v>
      </c>
    </row>
    <row r="10" spans="2:10" ht="21" hidden="1" x14ac:dyDescent="0.4">
      <c r="D10" s="8" t="s">
        <v>29</v>
      </c>
      <c r="E10" s="8" t="str">
        <f>VLOOKUP(purchasedata[[#This Row],[HSN Code]],Table4[#All],2,0)</f>
        <v>Smart Watch</v>
      </c>
      <c r="F10" s="8" t="str">
        <f>VLOOKUP(purchasedata[[#This Row],[HSN Code]],vendorsdata[#All],3,0)</f>
        <v>Tech99</v>
      </c>
      <c r="G10" s="10"/>
      <c r="H10" s="10">
        <v>40</v>
      </c>
      <c r="I10" s="9">
        <f>VLOOKUP(purchasedata[[#This Row],[HSN Code]],Table4[#All],3,0)</f>
        <v>980</v>
      </c>
      <c r="J10" s="8">
        <f>purchasedata[[#This Row],[Unit]]*purchasedata[[#This Row],[Cost]]</f>
        <v>39200</v>
      </c>
    </row>
    <row r="11" spans="2:10" ht="21" x14ac:dyDescent="0.4">
      <c r="D11" s="8" t="s">
        <v>29</v>
      </c>
      <c r="E11" s="8" t="str">
        <f>VLOOKUP(purchasedata[[#This Row],[HSN Code]],Table4[#All],2,0)</f>
        <v>Smart Watch</v>
      </c>
      <c r="F11" s="8" t="str">
        <f>VLOOKUP(purchasedata[[#This Row],[HSN Code]],vendorsdata[#All],3,0)</f>
        <v>Tech99</v>
      </c>
      <c r="G11" s="10">
        <v>45292</v>
      </c>
      <c r="H11" s="8">
        <v>40</v>
      </c>
      <c r="I11" s="9">
        <f>VLOOKUP(purchasedata[[#This Row],[HSN Code]],Table4[#All],3,0)</f>
        <v>980</v>
      </c>
      <c r="J11" s="9">
        <f>purchasedata[[#This Row],[Unit]]*purchasedata[[#This Row],[Cost]]</f>
        <v>39200</v>
      </c>
    </row>
    <row r="12" spans="2:10" ht="21" x14ac:dyDescent="0.4">
      <c r="D12" s="8" t="s">
        <v>31</v>
      </c>
      <c r="E12" s="8" t="str">
        <f>VLOOKUP(purchasedata[[#This Row],[HSN Code]],Table4[#All],2,0)</f>
        <v>Laptop HP xyz i5</v>
      </c>
      <c r="F12" s="8" t="str">
        <f>VLOOKUP(purchasedata[[#This Row],[HSN Code]],vendorsdata[#All],3,0)</f>
        <v>Tech99</v>
      </c>
      <c r="G12" s="10">
        <v>45293</v>
      </c>
      <c r="H12" s="8">
        <v>30</v>
      </c>
      <c r="I12" s="9">
        <f>VLOOKUP(purchasedata[[#This Row],[HSN Code]],Table4[#All],3,0)</f>
        <v>34500</v>
      </c>
      <c r="J12" s="9">
        <f>purchasedata[[#This Row],[Unit]]*purchasedata[[#This Row],[Cost]]</f>
        <v>1035000</v>
      </c>
    </row>
    <row r="13" spans="2:10" ht="21" x14ac:dyDescent="0.4">
      <c r="D13" s="8" t="s">
        <v>33</v>
      </c>
      <c r="E13" s="8" t="str">
        <f>VLOOKUP(purchasedata[[#This Row],[HSN Code]],Table4[#All],2,0)</f>
        <v>Wireless Printer</v>
      </c>
      <c r="F13" s="8" t="str">
        <f>VLOOKUP(purchasedata[[#This Row],[HSN Code]],vendorsdata[#All],3,0)</f>
        <v>Tech99</v>
      </c>
      <c r="G13" s="10">
        <v>45294</v>
      </c>
      <c r="H13" s="8">
        <v>40</v>
      </c>
      <c r="I13" s="9">
        <f>VLOOKUP(purchasedata[[#This Row],[HSN Code]],Table4[#All],3,0)</f>
        <v>4600</v>
      </c>
      <c r="J13" s="9">
        <f>purchasedata[[#This Row],[Unit]]*purchasedata[[#This Row],[Cost]]</f>
        <v>184000</v>
      </c>
    </row>
    <row r="14" spans="2:10" ht="21" x14ac:dyDescent="0.4">
      <c r="D14" s="8" t="s">
        <v>35</v>
      </c>
      <c r="E14" s="8" t="str">
        <f>VLOOKUP(purchasedata[[#This Row],[HSN Code]],Table4[#All],2,0)</f>
        <v>Desktop</v>
      </c>
      <c r="F14" s="8" t="str">
        <f>VLOOKUP(purchasedata[[#This Row],[HSN Code]],vendorsdata[#All],3,0)</f>
        <v>GG Traders</v>
      </c>
      <c r="G14" s="10">
        <v>45295</v>
      </c>
      <c r="H14" s="8">
        <v>100</v>
      </c>
      <c r="I14" s="9">
        <f>VLOOKUP(purchasedata[[#This Row],[HSN Code]],Table4[#All],3,0)</f>
        <v>21000</v>
      </c>
      <c r="J14" s="9">
        <f>purchasedata[[#This Row],[Unit]]*purchasedata[[#This Row],[Cost]]</f>
        <v>2100000</v>
      </c>
    </row>
    <row r="15" spans="2:10" ht="21" x14ac:dyDescent="0.4">
      <c r="D15" s="8" t="s">
        <v>37</v>
      </c>
      <c r="E15" s="8" t="str">
        <f>VLOOKUP(purchasedata[[#This Row],[HSN Code]],Table4[#All],2,0)</f>
        <v>Mouse</v>
      </c>
      <c r="F15" s="8" t="str">
        <f>VLOOKUP(purchasedata[[#This Row],[HSN Code]],vendorsdata[#All],3,0)</f>
        <v>GG Traders</v>
      </c>
      <c r="G15" s="10">
        <v>45296</v>
      </c>
      <c r="H15" s="8">
        <v>20</v>
      </c>
      <c r="I15" s="9">
        <f>VLOOKUP(purchasedata[[#This Row],[HSN Code]],Table4[#All],3,0)</f>
        <v>200</v>
      </c>
      <c r="J15" s="9">
        <f>purchasedata[[#This Row],[Unit]]*purchasedata[[#This Row],[Cost]]</f>
        <v>4000</v>
      </c>
    </row>
    <row r="16" spans="2:10" ht="21" x14ac:dyDescent="0.4">
      <c r="D16" s="8" t="s">
        <v>39</v>
      </c>
      <c r="E16" s="8" t="str">
        <f>VLOOKUP(purchasedata[[#This Row],[HSN Code]],Table4[#All],2,0)</f>
        <v>Rgb Keyboard</v>
      </c>
      <c r="F16" s="8" t="str">
        <f>VLOOKUP(purchasedata[[#This Row],[HSN Code]],vendorsdata[#All],3,0)</f>
        <v>GG Traders</v>
      </c>
      <c r="G16" s="10">
        <v>45297</v>
      </c>
      <c r="H16" s="8">
        <v>50</v>
      </c>
      <c r="I16" s="9">
        <f>VLOOKUP(purchasedata[[#This Row],[HSN Code]],Table4[#All],3,0)</f>
        <v>340</v>
      </c>
      <c r="J16" s="9">
        <f>purchasedata[[#This Row],[Unit]]*purchasedata[[#This Row],[Cost]]</f>
        <v>17000</v>
      </c>
    </row>
    <row r="17" spans="4:10" ht="21" x14ac:dyDescent="0.4">
      <c r="D17" s="8" t="s">
        <v>41</v>
      </c>
      <c r="E17" s="8" t="str">
        <f>VLOOKUP(purchasedata[[#This Row],[HSN Code]],Table4[#All],2,0)</f>
        <v>Camera</v>
      </c>
      <c r="F17" s="8" t="str">
        <f>VLOOKUP(purchasedata[[#This Row],[HSN Code]],vendorsdata[#All],3,0)</f>
        <v>GG Traders</v>
      </c>
      <c r="G17" s="10">
        <v>45298</v>
      </c>
      <c r="H17" s="8">
        <v>20</v>
      </c>
      <c r="I17" s="9">
        <f>VLOOKUP(purchasedata[[#This Row],[HSN Code]],Table4[#All],3,0)</f>
        <v>52000</v>
      </c>
      <c r="J17" s="9">
        <f>purchasedata[[#This Row],[Unit]]*purchasedata[[#This Row],[Cost]]</f>
        <v>1040000</v>
      </c>
    </row>
    <row r="18" spans="4:10" ht="21" x14ac:dyDescent="0.4">
      <c r="D18" s="8" t="s">
        <v>43</v>
      </c>
      <c r="E18" s="8" t="str">
        <f>VLOOKUP(purchasedata[[#This Row],[HSN Code]],Table4[#All],2,0)</f>
        <v>Headphones</v>
      </c>
      <c r="F18" s="8" t="str">
        <f>VLOOKUP(purchasedata[[#This Row],[HSN Code]],vendorsdata[#All],3,0)</f>
        <v>Compac</v>
      </c>
      <c r="G18" s="10">
        <v>45299</v>
      </c>
      <c r="H18" s="8">
        <v>35</v>
      </c>
      <c r="I18" s="9">
        <f>VLOOKUP(purchasedata[[#This Row],[HSN Code]],Table4[#All],3,0)</f>
        <v>799</v>
      </c>
      <c r="J18" s="9">
        <f>purchasedata[[#This Row],[Unit]]*purchasedata[[#This Row],[Cost]]</f>
        <v>27965</v>
      </c>
    </row>
    <row r="19" spans="4:10" ht="21" x14ac:dyDescent="0.4">
      <c r="D19" s="8" t="s">
        <v>45</v>
      </c>
      <c r="E19" s="8" t="str">
        <f>VLOOKUP(purchasedata[[#This Row],[HSN Code]],Table4[#All],2,0)</f>
        <v>Speakers</v>
      </c>
      <c r="F19" s="8" t="str">
        <f>VLOOKUP(purchasedata[[#This Row],[HSN Code]],vendorsdata[#All],3,0)</f>
        <v>Compac</v>
      </c>
      <c r="G19" s="10">
        <v>45300</v>
      </c>
      <c r="H19" s="8">
        <v>55</v>
      </c>
      <c r="I19" s="9">
        <f>VLOOKUP(purchasedata[[#This Row],[HSN Code]],Table4[#All],3,0)</f>
        <v>670</v>
      </c>
      <c r="J19" s="9">
        <f>purchasedata[[#This Row],[Unit]]*purchasedata[[#This Row],[Cost]]</f>
        <v>36850</v>
      </c>
    </row>
    <row r="20" spans="4:10" ht="24.6" customHeight="1" x14ac:dyDescent="0.4">
      <c r="D20" s="8" t="s">
        <v>47</v>
      </c>
      <c r="E20" s="8" t="str">
        <f>VLOOKUP(purchasedata[[#This Row],[HSN Code]],Table4[#All],2,0)</f>
        <v>Tablets</v>
      </c>
      <c r="F20" s="8" t="str">
        <f>VLOOKUP(purchasedata[[#This Row],[HSN Code]],vendorsdata[#All],3,0)</f>
        <v>Compac</v>
      </c>
      <c r="G20" s="10">
        <v>45301</v>
      </c>
      <c r="H20" s="8">
        <v>40</v>
      </c>
      <c r="I20" s="9">
        <f>VLOOKUP(purchasedata[[#This Row],[HSN Code]],Table4[#All],3,0)</f>
        <v>23500</v>
      </c>
      <c r="J20" s="9">
        <f>purchasedata[[#This Row],[Unit]]*purchasedata[[#This Row],[Cost]]</f>
        <v>940000</v>
      </c>
    </row>
    <row r="21" spans="4:10" ht="25.2" customHeight="1" x14ac:dyDescent="0.3"/>
  </sheetData>
  <phoneticPr fontId="5" type="noConversion"/>
  <dataValidations count="1">
    <dataValidation type="list" allowBlank="1" showInputMessage="1" showErrorMessage="1" sqref="D10:D20" xr:uid="{44F159BD-3C26-481F-B2C8-C05EC3569F94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6CCB-8004-4436-9196-4944ACB6CF68}">
  <dimension ref="B1:L20"/>
  <sheetViews>
    <sheetView showGridLines="0" showRowColHeaders="0" topLeftCell="A7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77734375" style="1" customWidth="1"/>
    <col min="4" max="4" width="16.44140625" style="7" customWidth="1"/>
    <col min="5" max="5" width="22.5546875" style="7" customWidth="1"/>
    <col min="6" max="6" width="19.33203125" style="7" customWidth="1"/>
    <col min="7" max="7" width="24.44140625" style="7" customWidth="1"/>
    <col min="8" max="8" width="16.77734375" style="7" customWidth="1"/>
    <col min="9" max="9" width="19.77734375" style="7" customWidth="1"/>
    <col min="10" max="10" width="15.109375" style="7" customWidth="1"/>
    <col min="11" max="11" width="17" style="7" customWidth="1"/>
    <col min="12" max="12" width="17.5546875" style="7" customWidth="1"/>
    <col min="13" max="16384" width="8.88671875" style="1"/>
  </cols>
  <sheetData>
    <row r="1" spans="2:12" x14ac:dyDescent="0.3">
      <c r="B1" s="1"/>
    </row>
    <row r="8" spans="2:12" ht="21" x14ac:dyDescent="0.4">
      <c r="D8" s="11" t="s">
        <v>0</v>
      </c>
      <c r="E8" s="11" t="s">
        <v>71</v>
      </c>
      <c r="F8" s="11" t="s">
        <v>25</v>
      </c>
      <c r="G8" s="11" t="s">
        <v>26</v>
      </c>
      <c r="H8" s="11" t="s">
        <v>68</v>
      </c>
      <c r="I8" s="11" t="s">
        <v>72</v>
      </c>
      <c r="J8" s="11" t="s">
        <v>69</v>
      </c>
      <c r="K8" s="11" t="s">
        <v>73</v>
      </c>
      <c r="L8" s="11" t="s">
        <v>70</v>
      </c>
    </row>
    <row r="9" spans="2:12" ht="21" x14ac:dyDescent="0.4">
      <c r="D9" s="8">
        <v>100</v>
      </c>
      <c r="E9" s="8" t="str">
        <f>VLOOKUP(salesdata[[#This Row],[Cust_ID]],customersdata[#All],2,0)</f>
        <v>Ram sales</v>
      </c>
      <c r="F9" s="8" t="s">
        <v>29</v>
      </c>
      <c r="G9" s="8" t="str">
        <f>VLOOKUP(salesdata[[#This Row],[HSN Code]],Table4[#All],2,0)</f>
        <v>Smart Watch</v>
      </c>
      <c r="H9" s="10"/>
      <c r="I9" s="8">
        <f>VLOOKUP(salesdata[[#This Row],[HSN Code]],Table3[#All],6,0)</f>
        <v>13</v>
      </c>
      <c r="J9" s="8">
        <v>27</v>
      </c>
      <c r="K9" s="9">
        <f>VLOOKUP(salesdata[[#This Row],[HSN Code]],Table4[#All],4,0)</f>
        <v>1176</v>
      </c>
      <c r="L9" s="9">
        <f>salesdata[[#This Row],[Price]]*salesdata[[#This Row],[Units]]</f>
        <v>31752</v>
      </c>
    </row>
    <row r="10" spans="2:12" ht="21" x14ac:dyDescent="0.4">
      <c r="D10" s="8">
        <v>101</v>
      </c>
      <c r="E10" s="8" t="str">
        <f>VLOOKUP(salesdata[[#This Row],[Cust_ID]],customersdata[#All],2,0)</f>
        <v>Atul Ltd.</v>
      </c>
      <c r="F10" s="8" t="s">
        <v>31</v>
      </c>
      <c r="G10" s="8" t="str">
        <f>VLOOKUP(salesdata[[#This Row],[HSN Code]],Table4[#All],2,0)</f>
        <v>Laptop HP xyz i5</v>
      </c>
      <c r="H10" s="10"/>
      <c r="I10" s="8">
        <f>VLOOKUP(salesdata[[#This Row],[HSN Code]],Table3[#All],6,0)</f>
        <v>1</v>
      </c>
      <c r="J10" s="8">
        <v>29</v>
      </c>
      <c r="K10" s="9">
        <f>VLOOKUP(salesdata[[#This Row],[HSN Code]],Table4[#All],4,0)</f>
        <v>41400</v>
      </c>
      <c r="L10" s="9">
        <f>salesdata[[#This Row],[Price]]*salesdata[[#This Row],[Units]]</f>
        <v>1200600</v>
      </c>
    </row>
    <row r="11" spans="2:12" ht="21" x14ac:dyDescent="0.4">
      <c r="D11" s="8">
        <v>102</v>
      </c>
      <c r="E11" s="8" t="str">
        <f>VLOOKUP(salesdata[[#This Row],[Cust_ID]],customersdata[#All],2,0)</f>
        <v>MK Tech.</v>
      </c>
      <c r="F11" s="8" t="s">
        <v>33</v>
      </c>
      <c r="G11" s="8" t="str">
        <f>VLOOKUP(salesdata[[#This Row],[HSN Code]],Table4[#All],2,0)</f>
        <v>Wireless Printer</v>
      </c>
      <c r="H11" s="10"/>
      <c r="I11" s="8">
        <f>VLOOKUP(salesdata[[#This Row],[HSN Code]],Table3[#All],6,0)</f>
        <v>2</v>
      </c>
      <c r="J11" s="8">
        <v>38</v>
      </c>
      <c r="K11" s="9">
        <f>VLOOKUP(salesdata[[#This Row],[HSN Code]],Table4[#All],4,0)</f>
        <v>5520</v>
      </c>
      <c r="L11" s="9">
        <f>salesdata[[#This Row],[Price]]*salesdata[[#This Row],[Units]]</f>
        <v>209760</v>
      </c>
    </row>
    <row r="12" spans="2:12" ht="21" x14ac:dyDescent="0.4">
      <c r="D12" s="8">
        <v>103</v>
      </c>
      <c r="E12" s="8" t="str">
        <f>VLOOKUP(salesdata[[#This Row],[Cust_ID]],customersdata[#All],2,0)</f>
        <v>99store</v>
      </c>
      <c r="F12" s="8" t="s">
        <v>35</v>
      </c>
      <c r="G12" s="8" t="str">
        <f>VLOOKUP(salesdata[[#This Row],[HSN Code]],Table4[#All],2,0)</f>
        <v>Desktop</v>
      </c>
      <c r="H12" s="10"/>
      <c r="I12" s="8">
        <f>VLOOKUP(salesdata[[#This Row],[HSN Code]],Table3[#All],6,0)</f>
        <v>45</v>
      </c>
      <c r="J12" s="8">
        <v>55</v>
      </c>
      <c r="K12" s="9">
        <f>VLOOKUP(salesdata[[#This Row],[HSN Code]],Table4[#All],4,0)</f>
        <v>25200</v>
      </c>
      <c r="L12" s="9">
        <f>salesdata[[#This Row],[Price]]*salesdata[[#This Row],[Units]]</f>
        <v>1386000</v>
      </c>
    </row>
    <row r="13" spans="2:12" ht="21" x14ac:dyDescent="0.4">
      <c r="D13" s="8">
        <v>104</v>
      </c>
      <c r="E13" s="8" t="str">
        <f>VLOOKUP(salesdata[[#This Row],[Cust_ID]],customersdata[#All],2,0)</f>
        <v>Rajesh Kumar</v>
      </c>
      <c r="F13" s="8" t="s">
        <v>37</v>
      </c>
      <c r="G13" s="8" t="str">
        <f>VLOOKUP(salesdata[[#This Row],[HSN Code]],Table4[#All],2,0)</f>
        <v>Mouse</v>
      </c>
      <c r="H13" s="10"/>
      <c r="I13" s="8">
        <f>VLOOKUP(salesdata[[#This Row],[HSN Code]],Table3[#All],6,0)</f>
        <v>1</v>
      </c>
      <c r="J13" s="8">
        <v>19</v>
      </c>
      <c r="K13" s="9">
        <f>VLOOKUP(salesdata[[#This Row],[HSN Code]],Table4[#All],4,0)</f>
        <v>240</v>
      </c>
      <c r="L13" s="9">
        <f>salesdata[[#This Row],[Price]]*salesdata[[#This Row],[Units]]</f>
        <v>4560</v>
      </c>
    </row>
    <row r="14" spans="2:12" ht="21" x14ac:dyDescent="0.4">
      <c r="D14" s="8">
        <v>105</v>
      </c>
      <c r="E14" s="8" t="str">
        <f>VLOOKUP(salesdata[[#This Row],[Cust_ID]],customersdata[#All],2,0)</f>
        <v xml:space="preserve">Amit </v>
      </c>
      <c r="F14" s="8" t="s">
        <v>39</v>
      </c>
      <c r="G14" s="8" t="str">
        <f>VLOOKUP(salesdata[[#This Row],[HSN Code]],Table4[#All],2,0)</f>
        <v>Rgb Keyboard</v>
      </c>
      <c r="H14" s="10"/>
      <c r="I14" s="8">
        <f>VLOOKUP(salesdata[[#This Row],[HSN Code]],Table3[#All],6,0)</f>
        <v>17</v>
      </c>
      <c r="J14" s="8">
        <v>33</v>
      </c>
      <c r="K14" s="9">
        <f>VLOOKUP(salesdata[[#This Row],[HSN Code]],Table4[#All],4,0)</f>
        <v>408</v>
      </c>
      <c r="L14" s="9">
        <f>salesdata[[#This Row],[Price]]*salesdata[[#This Row],[Units]]</f>
        <v>13464</v>
      </c>
    </row>
    <row r="15" spans="2:12" ht="21" x14ac:dyDescent="0.4">
      <c r="D15" s="8">
        <v>106</v>
      </c>
      <c r="E15" s="8" t="str">
        <f>VLOOKUP(salesdata[[#This Row],[Cust_ID]],customersdata[#All],2,0)</f>
        <v>Jain Tel.</v>
      </c>
      <c r="F15" s="8" t="s">
        <v>41</v>
      </c>
      <c r="G15" s="8" t="str">
        <f>VLOOKUP(salesdata[[#This Row],[HSN Code]],Table4[#All],2,0)</f>
        <v>Camera</v>
      </c>
      <c r="H15" s="10"/>
      <c r="I15" s="8">
        <f>VLOOKUP(salesdata[[#This Row],[HSN Code]],Table3[#All],6,0)</f>
        <v>3</v>
      </c>
      <c r="J15" s="8">
        <v>17</v>
      </c>
      <c r="K15" s="9">
        <f>VLOOKUP(salesdata[[#This Row],[HSN Code]],Table4[#All],4,0)</f>
        <v>62400</v>
      </c>
      <c r="L15" s="9">
        <f>salesdata[[#This Row],[Price]]*salesdata[[#This Row],[Units]]</f>
        <v>1060800</v>
      </c>
    </row>
    <row r="20" ht="22.2" customHeight="1" x14ac:dyDescent="0.3"/>
  </sheetData>
  <dataValidations count="2">
    <dataValidation type="list" allowBlank="1" showInputMessage="1" showErrorMessage="1" sqref="F9:F15" xr:uid="{ADD4B998-49F6-4CFE-8FE5-22CEDE165953}">
      <formula1>HSNCode</formula1>
    </dataValidation>
    <dataValidation type="list" allowBlank="1" showInputMessage="1" showErrorMessage="1" sqref="D9:D15" xr:uid="{AA53BED1-2D73-4DE9-9C8B-385899D18829}">
      <formula1>cid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92E6-8EFC-4FAE-BFB4-B9490F3E2FA1}">
  <dimension ref="B1:K20"/>
  <sheetViews>
    <sheetView showGridLines="0" showRowColHeaders="0" topLeftCell="A4" zoomScaleNormal="100" workbookViewId="0"/>
  </sheetViews>
  <sheetFormatPr defaultRowHeight="14.4" x14ac:dyDescent="0.3"/>
  <cols>
    <col min="1" max="1" width="2.88671875" style="1" customWidth="1"/>
    <col min="2" max="2" width="24.21875" style="2" customWidth="1"/>
    <col min="3" max="3" width="4.77734375" style="1" customWidth="1"/>
    <col min="4" max="4" width="20.5546875" style="1" customWidth="1"/>
    <col min="5" max="5" width="22.88671875" style="1" customWidth="1"/>
    <col min="6" max="6" width="20.88671875" style="1" customWidth="1"/>
    <col min="7" max="7" width="20.5546875" style="1" customWidth="1"/>
    <col min="8" max="8" width="20.6640625" style="1" customWidth="1"/>
    <col min="9" max="9" width="22.109375" style="1" customWidth="1"/>
    <col min="10" max="10" width="21.6640625" style="1" customWidth="1"/>
    <col min="11" max="11" width="78.21875" style="1" customWidth="1"/>
    <col min="12" max="16384" width="8.88671875" style="1"/>
  </cols>
  <sheetData>
    <row r="1" spans="2:11" x14ac:dyDescent="0.3">
      <c r="B1" s="1"/>
    </row>
    <row r="8" spans="2:11" ht="21" x14ac:dyDescent="0.4">
      <c r="D8" s="12" t="s">
        <v>25</v>
      </c>
      <c r="E8" s="12" t="s">
        <v>26</v>
      </c>
      <c r="F8" s="12" t="s">
        <v>27</v>
      </c>
      <c r="G8" s="12" t="s">
        <v>75</v>
      </c>
      <c r="H8" s="12" t="s">
        <v>76</v>
      </c>
      <c r="I8" s="12" t="s">
        <v>77</v>
      </c>
      <c r="J8" s="12" t="s">
        <v>78</v>
      </c>
      <c r="K8" s="12" t="s">
        <v>93</v>
      </c>
    </row>
    <row r="9" spans="2:11" ht="21" x14ac:dyDescent="0.4">
      <c r="D9" s="12" t="str">
        <f>Table4[[#This Row],[HSN Code]]</f>
        <v>N1001</v>
      </c>
      <c r="E9" s="12" t="str">
        <f>Table4[[#This Row],[Product Name]]</f>
        <v>Smart Watch</v>
      </c>
      <c r="F9" s="12">
        <f>Table4[[#This Row],[Cost]]</f>
        <v>980</v>
      </c>
      <c r="G9" s="12">
        <f>SUMIF(Purchase!E11:E20,Table3[[#This Row],[Product Name]],Purchase!H11:H20)</f>
        <v>40</v>
      </c>
      <c r="H9" s="12">
        <f>SUMIF(salesdata[Product Name],Table3[[#This Row],[Product Name]],salesdata[Units])</f>
        <v>27</v>
      </c>
      <c r="I9" s="12">
        <f>Table3[[#This Row],[P Units]]-Table3[[#This Row],[S Units]]</f>
        <v>13</v>
      </c>
      <c r="J9" s="12">
        <f>Table3[[#This Row],[Cost]]*Table3[[#This Row],[Stock]]</f>
        <v>12740</v>
      </c>
      <c r="K9" s="12" t="str">
        <f>IF(I8&lt;5, "📞 "&amp;E7&amp;" Needs to re-order ! PH "&amp;VLOOKUP(Table3[[#This Row],[HSN Code]],vendorsdata[#All],4,0),"")</f>
        <v/>
      </c>
    </row>
    <row r="10" spans="2:11" ht="21" x14ac:dyDescent="0.4">
      <c r="D10" s="12" t="str">
        <f>Table4[[#This Row],[HSN Code]]</f>
        <v>N1002</v>
      </c>
      <c r="E10" s="12" t="str">
        <f>Table4[[#This Row],[Product Name]]</f>
        <v>Laptop HP xyz i5</v>
      </c>
      <c r="F10" s="12">
        <f>Table4[[#This Row],[Cost]]</f>
        <v>34500</v>
      </c>
      <c r="G10" s="12">
        <f>SUMIF(Purchase!E12:E21,Table3[[#This Row],[Product Name]],Purchase!H12:H21)</f>
        <v>30</v>
      </c>
      <c r="H10" s="12">
        <f>SUMIF(salesdata[Product Name],Table3[[#This Row],[Product Name]],salesdata[Units])</f>
        <v>29</v>
      </c>
      <c r="I10" s="12">
        <f>Table3[[#This Row],[P Units]]-Table3[[#This Row],[S Units]]</f>
        <v>1</v>
      </c>
      <c r="J10" s="12">
        <f>Table3[[#This Row],[Cost]]*Table3[[#This Row],[Stock]]</f>
        <v>34500</v>
      </c>
      <c r="K10" s="12" t="str">
        <f>IF(I9&lt;5, "📞 "&amp;E8&amp;" Needs to re-order ! PH "&amp;VLOOKUP(Table3[[#This Row],[HSN Code]],vendorsdata[#All],4,0),"")</f>
        <v/>
      </c>
    </row>
    <row r="11" spans="2:11" ht="21" x14ac:dyDescent="0.4">
      <c r="D11" s="12" t="str">
        <f>Table4[[#This Row],[HSN Code]]</f>
        <v>N1003</v>
      </c>
      <c r="E11" s="12" t="str">
        <f>Table4[[#This Row],[Product Name]]</f>
        <v>Wireless Printer</v>
      </c>
      <c r="F11" s="12">
        <f>Table4[[#This Row],[Cost]]</f>
        <v>4600</v>
      </c>
      <c r="G11" s="12">
        <f>SUMIF(Purchase!E13:E22,Table3[[#This Row],[Product Name]],Purchase!H13:H22)</f>
        <v>40</v>
      </c>
      <c r="H11" s="12">
        <f>SUMIF(salesdata[Product Name],Table3[[#This Row],[Product Name]],salesdata[Units])</f>
        <v>38</v>
      </c>
      <c r="I11" s="12">
        <f>Table3[[#This Row],[P Units]]-Table3[[#This Row],[S Units]]</f>
        <v>2</v>
      </c>
      <c r="J11" s="12">
        <f>Table3[[#This Row],[Cost]]*Table3[[#This Row],[Stock]]</f>
        <v>9200</v>
      </c>
      <c r="K11" s="12" t="str">
        <f>IF(I10&lt;5, "📞 "&amp;E9&amp;" Needs to re-order ! PH "&amp;VLOOKUP(Table3[[#This Row],[HSN Code]],vendorsdata[#All],4,0),"")</f>
        <v>📞 Smart Watch Needs to re-order ! PH 9812xxxxxx</v>
      </c>
    </row>
    <row r="12" spans="2:11" ht="21" x14ac:dyDescent="0.4">
      <c r="D12" s="12" t="str">
        <f>Table4[[#This Row],[HSN Code]]</f>
        <v>N1004</v>
      </c>
      <c r="E12" s="12" t="str">
        <f>Table4[[#This Row],[Product Name]]</f>
        <v>Desktop</v>
      </c>
      <c r="F12" s="12">
        <f>Table4[[#This Row],[Cost]]</f>
        <v>21000</v>
      </c>
      <c r="G12" s="12">
        <f>SUMIF(Purchase!E14:E23,Table3[[#This Row],[Product Name]],Purchase!H14:H23)</f>
        <v>100</v>
      </c>
      <c r="H12" s="12">
        <f>SUMIF(salesdata[Product Name],Table3[[#This Row],[Product Name]],salesdata[Units])</f>
        <v>55</v>
      </c>
      <c r="I12" s="12">
        <f>Table3[[#This Row],[P Units]]-Table3[[#This Row],[S Units]]</f>
        <v>45</v>
      </c>
      <c r="J12" s="12">
        <f>Table3[[#This Row],[Cost]]*Table3[[#This Row],[Stock]]</f>
        <v>945000</v>
      </c>
      <c r="K12" s="12" t="str">
        <f>IF(I11&lt;5, "📞 "&amp;E10&amp;" Needs to re-order ! PH "&amp;VLOOKUP(Table3[[#This Row],[HSN Code]],vendorsdata[#All],4,0),"")</f>
        <v>📞 Laptop HP xyz i5 Needs to re-order ! PH 9813xxxxxx</v>
      </c>
    </row>
    <row r="13" spans="2:11" ht="21" x14ac:dyDescent="0.4">
      <c r="D13" s="12" t="str">
        <f>Table4[[#This Row],[HSN Code]]</f>
        <v>N1005</v>
      </c>
      <c r="E13" s="12" t="str">
        <f>Table4[[#This Row],[Product Name]]</f>
        <v>Mouse</v>
      </c>
      <c r="F13" s="12">
        <f>Table4[[#This Row],[Cost]]</f>
        <v>200</v>
      </c>
      <c r="G13" s="12">
        <f>SUMIF(Purchase!E15:E24,Table3[[#This Row],[Product Name]],Purchase!H15:H24)</f>
        <v>20</v>
      </c>
      <c r="H13" s="12">
        <f>SUMIF(salesdata[Product Name],Table3[[#This Row],[Product Name]],salesdata[Units])</f>
        <v>19</v>
      </c>
      <c r="I13" s="12">
        <f>Table3[[#This Row],[P Units]]-Table3[[#This Row],[S Units]]</f>
        <v>1</v>
      </c>
      <c r="J13" s="12">
        <f>Table3[[#This Row],[Cost]]*Table3[[#This Row],[Stock]]</f>
        <v>200</v>
      </c>
      <c r="K13" s="12" t="str">
        <f>IF(I12&lt;5, "📞 "&amp;E11&amp;" Needs to re-order ! PH "&amp;VLOOKUP(Table3[[#This Row],[HSN Code]],vendorsdata[#All],4,0),"")</f>
        <v/>
      </c>
    </row>
    <row r="14" spans="2:11" ht="21" x14ac:dyDescent="0.4">
      <c r="D14" s="12" t="str">
        <f>Table4[[#This Row],[HSN Code]]</f>
        <v>N1006</v>
      </c>
      <c r="E14" s="12" t="str">
        <f>Table4[[#This Row],[Product Name]]</f>
        <v>Rgb Keyboard</v>
      </c>
      <c r="F14" s="12">
        <f>Table4[[#This Row],[Cost]]</f>
        <v>340</v>
      </c>
      <c r="G14" s="12">
        <f>SUMIF(Purchase!E16:E25,Table3[[#This Row],[Product Name]],Purchase!H16:H25)</f>
        <v>50</v>
      </c>
      <c r="H14" s="12">
        <f>SUMIF(salesdata[Product Name],Table3[[#This Row],[Product Name]],salesdata[Units])</f>
        <v>33</v>
      </c>
      <c r="I14" s="12">
        <f>Table3[[#This Row],[P Units]]-Table3[[#This Row],[S Units]]</f>
        <v>17</v>
      </c>
      <c r="J14" s="12">
        <f>Table3[[#This Row],[Cost]]*Table3[[#This Row],[Stock]]</f>
        <v>5780</v>
      </c>
      <c r="K14" s="12" t="str">
        <f>IF(I13&lt;5, "📞 "&amp;E12&amp;" Needs to re-order ! PH "&amp;VLOOKUP(Table3[[#This Row],[HSN Code]],vendorsdata[#All],4,0),"")</f>
        <v>📞 Desktop Needs to re-order ! PH 9813xxxxxx</v>
      </c>
    </row>
    <row r="15" spans="2:11" ht="21" x14ac:dyDescent="0.4">
      <c r="D15" s="12" t="str">
        <f>Table4[[#This Row],[HSN Code]]</f>
        <v>N1007</v>
      </c>
      <c r="E15" s="12" t="str">
        <f>Table4[[#This Row],[Product Name]]</f>
        <v>Camera</v>
      </c>
      <c r="F15" s="12">
        <f>Table4[[#This Row],[Cost]]</f>
        <v>52000</v>
      </c>
      <c r="G15" s="12">
        <f>SUMIF(Purchase!E17:E26,Table3[[#This Row],[Product Name]],Purchase!H17:H26)</f>
        <v>20</v>
      </c>
      <c r="H15" s="12">
        <f>SUMIF(salesdata[Product Name],Table3[[#This Row],[Product Name]],salesdata[Units])</f>
        <v>17</v>
      </c>
      <c r="I15" s="12">
        <f>Table3[[#This Row],[P Units]]-Table3[[#This Row],[S Units]]</f>
        <v>3</v>
      </c>
      <c r="J15" s="12">
        <f>Table3[[#This Row],[Cost]]*Table3[[#This Row],[Stock]]</f>
        <v>156000</v>
      </c>
      <c r="K15" s="12" t="str">
        <f>IF(I14&lt;5, "📞 "&amp;E13&amp;" Needs to re-order ! PH "&amp;VLOOKUP(Table3[[#This Row],[HSN Code]],vendorsdata[#All],4,0),"")</f>
        <v/>
      </c>
    </row>
    <row r="16" spans="2:11" ht="21" x14ac:dyDescent="0.4">
      <c r="D16" s="12" t="str">
        <f>Table4[[#This Row],[HSN Code]]</f>
        <v>N1008</v>
      </c>
      <c r="E16" s="12" t="str">
        <f>Table4[[#This Row],[Product Name]]</f>
        <v>Headphones</v>
      </c>
      <c r="F16" s="12">
        <f>Table4[[#This Row],[Cost]]</f>
        <v>799</v>
      </c>
      <c r="G16" s="12">
        <f>SUMIF(Purchase!E18:E27,Table3[[#This Row],[Product Name]],Purchase!H18:H27)</f>
        <v>35</v>
      </c>
      <c r="H16" s="12">
        <f>SUMIF(salesdata[Product Name],Table3[[#This Row],[Product Name]],salesdata[Units])</f>
        <v>0</v>
      </c>
      <c r="I16" s="12">
        <f>Table3[[#This Row],[P Units]]-Table3[[#This Row],[S Units]]</f>
        <v>35</v>
      </c>
      <c r="J16" s="12">
        <f>Table3[[#This Row],[Cost]]*Table3[[#This Row],[Stock]]</f>
        <v>27965</v>
      </c>
      <c r="K16" s="12" t="str">
        <f>IF(I15&lt;5, "📞 "&amp;E14&amp;" Needs to re-order ! PH "&amp;VLOOKUP(Table3[[#This Row],[HSN Code]],vendorsdata[#All],4,0),"")</f>
        <v>📞 Rgb Keyboard Needs to re-order ! PH 9814xxxxxx</v>
      </c>
    </row>
    <row r="17" spans="4:11" ht="21" x14ac:dyDescent="0.4">
      <c r="D17" s="12" t="str">
        <f>Table4[[#This Row],[HSN Code]]</f>
        <v>N1009</v>
      </c>
      <c r="E17" s="12" t="str">
        <f>Table4[[#This Row],[Product Name]]</f>
        <v>Speakers</v>
      </c>
      <c r="F17" s="12">
        <f>Table4[[#This Row],[Cost]]</f>
        <v>670</v>
      </c>
      <c r="G17" s="12">
        <f>SUMIF(Purchase!E19:E28,Table3[[#This Row],[Product Name]],Purchase!H19:H28)</f>
        <v>55</v>
      </c>
      <c r="H17" s="12">
        <f>SUMIF(salesdata[Product Name],Table3[[#This Row],[Product Name]],salesdata[Units])</f>
        <v>0</v>
      </c>
      <c r="I17" s="12">
        <f>Table3[[#This Row],[P Units]]-Table3[[#This Row],[S Units]]</f>
        <v>55</v>
      </c>
      <c r="J17" s="12">
        <f>Table3[[#This Row],[Cost]]*Table3[[#This Row],[Stock]]</f>
        <v>36850</v>
      </c>
      <c r="K17" s="12" t="str">
        <f>IF(I16&lt;5, "📞 "&amp;E15&amp;" Needs to re-order ! PH "&amp;VLOOKUP(Table3[[#This Row],[HSN Code]],vendorsdata[#All],4,0),"")</f>
        <v/>
      </c>
    </row>
    <row r="18" spans="4:11" ht="21" x14ac:dyDescent="0.4">
      <c r="D18" s="12" t="str">
        <f>Table4[[#This Row],[HSN Code]]</f>
        <v>N1010</v>
      </c>
      <c r="E18" s="12" t="str">
        <f>Table4[[#This Row],[Product Name]]</f>
        <v>Tablets</v>
      </c>
      <c r="F18" s="12">
        <f>Table4[[#This Row],[Cost]]</f>
        <v>23500</v>
      </c>
      <c r="G18" s="12">
        <f>SUMIF(Purchase!E20:E29,Table3[[#This Row],[Product Name]],Purchase!H20:H29)</f>
        <v>40</v>
      </c>
      <c r="H18" s="12">
        <f>SUMIF(salesdata[Product Name],Table3[[#This Row],[Product Name]],salesdata[Units])</f>
        <v>0</v>
      </c>
      <c r="I18" s="12">
        <f>Table3[[#This Row],[P Units]]-Table3[[#This Row],[S Units]]</f>
        <v>40</v>
      </c>
      <c r="J18" s="12">
        <f>Table3[[#This Row],[Cost]]*Table3[[#This Row],[Stock]]</f>
        <v>940000</v>
      </c>
      <c r="K18" s="12" t="str">
        <f>IF(I17&lt;5, "📞 "&amp;E16&amp;" Needs to re-order ! PH "&amp;VLOOKUP(Table3[[#This Row],[HSN Code]],vendorsdata[#All],4,0),"")</f>
        <v/>
      </c>
    </row>
    <row r="20" spans="4:11" ht="4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2145-F759-4A9F-8DED-AEF9FF9AC2E1}">
  <dimension ref="A3:G37"/>
  <sheetViews>
    <sheetView workbookViewId="0">
      <selection activeCell="L31" sqref="L31"/>
    </sheetView>
  </sheetViews>
  <sheetFormatPr defaultRowHeight="14.4" x14ac:dyDescent="0.3"/>
  <cols>
    <col min="1" max="1" width="19.6640625" bestFit="1" customWidth="1"/>
    <col min="2" max="2" width="12.109375" bestFit="1" customWidth="1"/>
    <col min="3" max="3" width="17.44140625" customWidth="1"/>
    <col min="4" max="4" width="11.21875" customWidth="1"/>
    <col min="6" max="6" width="14.33203125" bestFit="1" customWidth="1"/>
    <col min="7" max="7" width="13.33203125" bestFit="1" customWidth="1"/>
  </cols>
  <sheetData>
    <row r="3" spans="1:7" x14ac:dyDescent="0.3">
      <c r="A3" t="s">
        <v>81</v>
      </c>
      <c r="C3" t="s">
        <v>82</v>
      </c>
      <c r="F3" s="13" t="s">
        <v>79</v>
      </c>
      <c r="G3" t="s">
        <v>91</v>
      </c>
    </row>
    <row r="4" spans="1:7" x14ac:dyDescent="0.3">
      <c r="A4" s="20">
        <v>7</v>
      </c>
      <c r="C4">
        <f>GETPIVOTDATA("Name",$A$3)</f>
        <v>7</v>
      </c>
      <c r="F4" s="14" t="s">
        <v>36</v>
      </c>
      <c r="G4" s="20">
        <v>55</v>
      </c>
    </row>
    <row r="5" spans="1:7" x14ac:dyDescent="0.3">
      <c r="F5" s="14" t="s">
        <v>34</v>
      </c>
      <c r="G5" s="20">
        <v>38</v>
      </c>
    </row>
    <row r="6" spans="1:7" x14ac:dyDescent="0.3">
      <c r="A6" t="s">
        <v>83</v>
      </c>
      <c r="C6" t="s">
        <v>84</v>
      </c>
      <c r="F6" s="14" t="s">
        <v>40</v>
      </c>
      <c r="G6" s="20">
        <v>33</v>
      </c>
    </row>
    <row r="7" spans="1:7" x14ac:dyDescent="0.3">
      <c r="A7" s="20">
        <v>10</v>
      </c>
      <c r="C7">
        <f>GETPIVOTDATA("Product Name",$A$6)</f>
        <v>10</v>
      </c>
      <c r="F7" s="14" t="s">
        <v>32</v>
      </c>
      <c r="G7" s="20">
        <v>29</v>
      </c>
    </row>
    <row r="8" spans="1:7" x14ac:dyDescent="0.3">
      <c r="F8" s="14" t="s">
        <v>30</v>
      </c>
      <c r="G8" s="20">
        <v>27</v>
      </c>
    </row>
    <row r="9" spans="1:7" x14ac:dyDescent="0.3">
      <c r="A9" t="s">
        <v>85</v>
      </c>
      <c r="C9" t="s">
        <v>86</v>
      </c>
      <c r="F9" s="14" t="s">
        <v>80</v>
      </c>
      <c r="G9" s="20">
        <v>182</v>
      </c>
    </row>
    <row r="10" spans="1:7" x14ac:dyDescent="0.3">
      <c r="A10" s="20">
        <v>5463215</v>
      </c>
      <c r="C10" s="16">
        <f>GETPIVOTDATA("Amount",$A$9)</f>
        <v>5463215</v>
      </c>
    </row>
    <row r="12" spans="1:7" x14ac:dyDescent="0.3">
      <c r="A12" t="s">
        <v>85</v>
      </c>
      <c r="C12" t="s">
        <v>87</v>
      </c>
    </row>
    <row r="13" spans="1:7" x14ac:dyDescent="0.3">
      <c r="A13" s="15">
        <v>3906936</v>
      </c>
      <c r="C13" s="16">
        <f>GETPIVOTDATA("Amount",$A$12)</f>
        <v>3906936</v>
      </c>
    </row>
    <row r="14" spans="1:7" x14ac:dyDescent="0.3">
      <c r="F14" s="13" t="s">
        <v>79</v>
      </c>
      <c r="G14" t="s">
        <v>85</v>
      </c>
    </row>
    <row r="15" spans="1:7" x14ac:dyDescent="0.3">
      <c r="A15" t="s">
        <v>88</v>
      </c>
      <c r="C15" t="s">
        <v>89</v>
      </c>
      <c r="F15" s="14" t="s">
        <v>13</v>
      </c>
      <c r="G15" s="15">
        <v>1386000</v>
      </c>
    </row>
    <row r="16" spans="1:7" x14ac:dyDescent="0.3">
      <c r="A16" s="20">
        <v>2168235</v>
      </c>
      <c r="C16" s="16">
        <f>GETPIVOTDATA("Stock Amount",$A$15)</f>
        <v>2168235</v>
      </c>
      <c r="F16" s="14" t="s">
        <v>7</v>
      </c>
      <c r="G16" s="15">
        <v>1200600</v>
      </c>
    </row>
    <row r="17" spans="1:7" x14ac:dyDescent="0.3">
      <c r="F17" s="14" t="s">
        <v>22</v>
      </c>
      <c r="G17" s="15">
        <v>1060800</v>
      </c>
    </row>
    <row r="18" spans="1:7" x14ac:dyDescent="0.3">
      <c r="C18" t="s">
        <v>90</v>
      </c>
      <c r="F18" s="14" t="s">
        <v>10</v>
      </c>
      <c r="G18" s="15">
        <v>209760</v>
      </c>
    </row>
    <row r="19" spans="1:7" x14ac:dyDescent="0.3">
      <c r="C19" s="16">
        <f>C16+C13-C10</f>
        <v>611956</v>
      </c>
      <c r="F19" s="14" t="s">
        <v>4</v>
      </c>
      <c r="G19" s="15">
        <v>31752</v>
      </c>
    </row>
    <row r="20" spans="1:7" x14ac:dyDescent="0.3">
      <c r="F20" s="14" t="s">
        <v>80</v>
      </c>
      <c r="G20" s="15">
        <v>3888912</v>
      </c>
    </row>
    <row r="26" spans="1:7" x14ac:dyDescent="0.3">
      <c r="A26" s="13" t="s">
        <v>79</v>
      </c>
      <c r="B26" t="s">
        <v>94</v>
      </c>
    </row>
    <row r="27" spans="1:7" x14ac:dyDescent="0.3">
      <c r="A27" s="14" t="s">
        <v>42</v>
      </c>
      <c r="B27" s="20">
        <v>3</v>
      </c>
    </row>
    <row r="28" spans="1:7" x14ac:dyDescent="0.3">
      <c r="A28" s="14" t="s">
        <v>36</v>
      </c>
      <c r="B28" s="20">
        <v>45</v>
      </c>
    </row>
    <row r="29" spans="1:7" x14ac:dyDescent="0.3">
      <c r="A29" s="14" t="s">
        <v>44</v>
      </c>
      <c r="B29" s="20">
        <v>35</v>
      </c>
    </row>
    <row r="30" spans="1:7" x14ac:dyDescent="0.3">
      <c r="A30" s="14" t="s">
        <v>32</v>
      </c>
      <c r="B30" s="20">
        <v>1</v>
      </c>
    </row>
    <row r="31" spans="1:7" x14ac:dyDescent="0.3">
      <c r="A31" s="14" t="s">
        <v>38</v>
      </c>
      <c r="B31" s="20">
        <v>1</v>
      </c>
    </row>
    <row r="32" spans="1:7" x14ac:dyDescent="0.3">
      <c r="A32" s="14" t="s">
        <v>40</v>
      </c>
      <c r="B32" s="20">
        <v>17</v>
      </c>
    </row>
    <row r="33" spans="1:2" x14ac:dyDescent="0.3">
      <c r="A33" s="14" t="s">
        <v>30</v>
      </c>
      <c r="B33" s="20">
        <v>13</v>
      </c>
    </row>
    <row r="34" spans="1:2" x14ac:dyDescent="0.3">
      <c r="A34" s="14" t="s">
        <v>46</v>
      </c>
      <c r="B34" s="20">
        <v>55</v>
      </c>
    </row>
    <row r="35" spans="1:2" x14ac:dyDescent="0.3">
      <c r="A35" s="14" t="s">
        <v>48</v>
      </c>
      <c r="B35" s="20">
        <v>40</v>
      </c>
    </row>
    <row r="36" spans="1:2" x14ac:dyDescent="0.3">
      <c r="A36" s="14" t="s">
        <v>34</v>
      </c>
      <c r="B36" s="20">
        <v>2</v>
      </c>
    </row>
    <row r="37" spans="1:2" x14ac:dyDescent="0.3">
      <c r="A37" s="14" t="s">
        <v>80</v>
      </c>
      <c r="B37" s="20">
        <v>212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Customers</vt:lpstr>
      <vt:lpstr>Products</vt:lpstr>
      <vt:lpstr>Vendors</vt:lpstr>
      <vt:lpstr>New Entry Purchase</vt:lpstr>
      <vt:lpstr>Purchase</vt:lpstr>
      <vt:lpstr>Sales</vt:lpstr>
      <vt:lpstr>Inventory</vt:lpstr>
      <vt:lpstr>pivots</vt:lpstr>
      <vt:lpstr>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_</dc:creator>
  <cp:lastModifiedBy>Pragya _</cp:lastModifiedBy>
  <dcterms:created xsi:type="dcterms:W3CDTF">2015-06-05T18:17:20Z</dcterms:created>
  <dcterms:modified xsi:type="dcterms:W3CDTF">2025-06-21T17:18:46Z</dcterms:modified>
</cp:coreProperties>
</file>